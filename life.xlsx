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firstSheet="1" activeTab="11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  <sheet name="Свършени задачи" sheetId="9" r:id="rId8"/>
    <sheet name="Задачи" sheetId="10" r:id="rId9"/>
    <sheet name="Инвестиции" sheetId="11" r:id="rId10"/>
    <sheet name="Родословно дърво" sheetId="12" r:id="rId11"/>
    <sheet name="Sheet2" sheetId="13" r:id="rId12"/>
  </sheets>
  <calcPr calcId="124519"/>
</workbook>
</file>

<file path=xl/calcChain.xml><?xml version="1.0" encoding="utf-8"?>
<calcChain xmlns="http://schemas.openxmlformats.org/spreadsheetml/2006/main">
  <c r="F36" i="12"/>
  <c r="C36"/>
  <c r="L212" i="5"/>
  <c r="M212" s="1"/>
  <c r="L204"/>
  <c r="M204" s="1"/>
  <c r="F27" i="3"/>
  <c r="F26"/>
  <c r="F25"/>
  <c r="F24"/>
  <c r="F23"/>
  <c r="F18"/>
  <c r="F17"/>
  <c r="F16"/>
  <c r="F15"/>
  <c r="F14"/>
  <c r="L18"/>
  <c r="L17"/>
  <c r="L16"/>
  <c r="L15"/>
  <c r="L14"/>
  <c r="F28" l="1"/>
  <c r="F19"/>
  <c r="L19"/>
</calcChain>
</file>

<file path=xl/sharedStrings.xml><?xml version="1.0" encoding="utf-8"?>
<sst xmlns="http://schemas.openxmlformats.org/spreadsheetml/2006/main" count="1762" uniqueCount="1560">
  <si>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</si>
  <si>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</si>
  <si>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</si>
  <si>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</si>
  <si>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</si>
  <si>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</si>
  <si>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</si>
  <si>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</si>
  <si>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</si>
  <si>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</si>
  <si>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</si>
  <si>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</si>
  <si>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</si>
  <si>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</si>
  <si>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</si>
  <si>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</si>
  <si>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</si>
  <si>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</si>
  <si>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</si>
  <si>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</si>
  <si>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</si>
  <si>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</si>
  <si>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</si>
  <si>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</si>
  <si>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</si>
  <si>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</si>
  <si>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</si>
  <si>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</si>
  <si>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</si>
  <si>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</si>
  <si>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</si>
  <si>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</si>
  <si>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</si>
  <si>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</si>
  <si>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</si>
  <si>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</si>
  <si>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</si>
  <si>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</si>
  <si>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</si>
  <si>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</si>
  <si>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</si>
  <si>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</si>
  <si>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</si>
  <si>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</si>
  <si>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</si>
  <si>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</si>
  <si>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</si>
  <si>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</si>
  <si>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</si>
  <si>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</si>
  <si>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</si>
  <si>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</si>
  <si>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</si>
  <si>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</si>
  <si>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</si>
  <si>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</si>
  <si>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</si>
  <si>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</si>
  <si>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</si>
  <si>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</si>
  <si>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</si>
  <si>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</si>
  <si>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</si>
  <si>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</si>
  <si>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</si>
  <si>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</si>
  <si>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</si>
  <si>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</si>
  <si>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</si>
  <si>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</si>
  <si>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</si>
  <si>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</si>
  <si>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</si>
  <si>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</si>
  <si>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</si>
  <si>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</si>
  <si>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</si>
  <si>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</si>
  <si>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</si>
  <si>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</si>
  <si>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</si>
  <si>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</si>
  <si>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</si>
  <si>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</si>
  <si>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</si>
  <si>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</si>
  <si>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</si>
  <si>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</si>
  <si>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</si>
  <si>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</si>
  <si>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</si>
  <si>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</si>
  <si>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</si>
  <si>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</si>
  <si>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</si>
  <si>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</si>
  <si>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</si>
  <si>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</si>
  <si>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</si>
  <si>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</si>
  <si>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</si>
  <si>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</si>
  <si>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</si>
  <si>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</si>
  <si>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</si>
  <si>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</si>
  <si>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</si>
  <si>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</si>
  <si>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</si>
  <si>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</si>
  <si>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</si>
  <si>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</si>
  <si>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</si>
  <si>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</si>
  <si>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</si>
  <si>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</si>
  <si>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</si>
  <si>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</si>
  <si>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</si>
  <si>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</si>
  <si>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</si>
  <si>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</si>
  <si>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</si>
  <si>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</si>
  <si>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</si>
  <si>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</si>
  <si>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</si>
  <si>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</si>
  <si>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</si>
  <si>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</si>
  <si>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</si>
  <si>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</si>
  <si>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</si>
  <si>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</si>
  <si>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</si>
  <si>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</si>
  <si>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</si>
  <si>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</si>
  <si>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</si>
  <si>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</si>
  <si>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</si>
  <si>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</si>
  <si>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</si>
  <si>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</si>
  <si>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</si>
  <si>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</si>
  <si>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</si>
  <si>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</si>
  <si>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</si>
  <si>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</si>
  <si>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</si>
  <si>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</si>
  <si>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</si>
  <si>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</si>
  <si>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</si>
  <si>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</si>
  <si>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</si>
  <si>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</si>
  <si>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</si>
  <si>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</si>
  <si>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</si>
  <si>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</si>
  <si>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</si>
  <si>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</si>
  <si>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</si>
  <si>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</si>
  <si>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</si>
  <si>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</si>
  <si>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</si>
  <si>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</si>
  <si>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</si>
  <si>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</si>
  <si>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</si>
  <si>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</si>
  <si>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</si>
  <si>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</si>
  <si>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</si>
  <si>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</si>
  <si>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</si>
  <si>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</si>
  <si>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</si>
  <si>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</si>
  <si>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</si>
  <si>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</si>
  <si>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</si>
  <si>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</si>
  <si>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</si>
  <si>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</si>
  <si>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</si>
  <si>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</si>
  <si>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</si>
  <si>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</si>
  <si>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</si>
  <si>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</si>
  <si>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</si>
  <si>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</si>
  <si>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</si>
  <si>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</si>
  <si>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</si>
  <si>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</si>
  <si>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</si>
  <si>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</si>
  <si>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</si>
  <si>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</si>
  <si>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</si>
  <si>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</si>
  <si>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</si>
  <si>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</si>
  <si>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</si>
  <si>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</si>
  <si>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</si>
  <si>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</si>
  <si>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</si>
  <si>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</si>
  <si>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</si>
  <si>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</si>
  <si>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</si>
  <si>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</si>
  <si>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</si>
  <si>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</si>
  <si>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</si>
  <si>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</si>
  <si>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</si>
  <si>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</si>
  <si>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</si>
  <si>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</si>
  <si>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</si>
  <si>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</si>
  <si>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</si>
  <si>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</si>
  <si>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</si>
  <si>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</si>
  <si>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</si>
  <si>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</si>
  <si>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</si>
  <si>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</si>
  <si>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</si>
  <si>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</si>
  <si>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</si>
  <si>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</si>
  <si>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</si>
  <si>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</si>
  <si>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</si>
  <si>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</si>
  <si>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</si>
  <si>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</si>
  <si>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</si>
  <si>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</si>
  <si>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</si>
  <si>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</si>
  <si>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</si>
  <si>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</si>
  <si>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</si>
  <si>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</si>
  <si>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</si>
  <si>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</si>
  <si>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</si>
  <si>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</si>
  <si>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</si>
  <si>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</si>
  <si>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</si>
  <si>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</si>
  <si>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</si>
  <si>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</si>
  <si>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</si>
  <si>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</si>
  <si>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</si>
  <si>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</si>
  <si>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</si>
  <si>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</si>
  <si>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</si>
  <si>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</si>
  <si>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</si>
  <si>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</si>
  <si>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</si>
  <si>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</si>
  <si>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</si>
  <si>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</si>
  <si>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</si>
  <si>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</si>
  <si>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</si>
  <si>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</si>
  <si>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</si>
  <si>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</si>
  <si>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</si>
  <si>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</si>
  <si>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</si>
  <si>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</si>
  <si>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</si>
  <si>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</si>
  <si>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</si>
  <si>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</si>
  <si>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</si>
  <si>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</si>
  <si>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</si>
  <si>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</si>
  <si>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</si>
  <si>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</si>
  <si>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</si>
  <si>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</si>
  <si>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</si>
  <si>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</si>
  <si>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</si>
  <si>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</si>
  <si>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</si>
  <si>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</si>
  <si>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</si>
  <si>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</si>
  <si>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</si>
  <si>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</si>
  <si>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</si>
  <si>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</si>
  <si>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</si>
  <si>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</si>
  <si>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</si>
  <si>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</si>
  <si>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</si>
  <si>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</si>
  <si>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</si>
  <si>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</si>
  <si>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</si>
  <si>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</si>
  <si>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</si>
  <si>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</si>
  <si>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</si>
  <si>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</si>
  <si>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</si>
  <si>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</si>
  <si>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</si>
  <si>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</si>
  <si>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</si>
  <si>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</si>
  <si>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</si>
  <si>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</si>
  <si>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</si>
  <si>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</si>
  <si>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</si>
  <si>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</si>
  <si>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</si>
  <si>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</si>
  <si>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</si>
  <si>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</si>
  <si>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</si>
  <si>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</si>
  <si>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</si>
  <si>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</si>
  <si>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</si>
  <si>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</si>
  <si>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</si>
  <si>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</si>
  <si>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</si>
  <si>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</si>
  <si>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</si>
  <si>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</si>
  <si>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</si>
  <si>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</si>
  <si>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</si>
  <si>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</si>
  <si>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</si>
  <si>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</si>
  <si>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</si>
  <si>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</si>
  <si>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</si>
  <si>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</si>
  <si>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</si>
  <si>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</si>
  <si>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</si>
  <si>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</si>
  <si>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</si>
  <si>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</si>
  <si>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</si>
  <si>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</si>
  <si>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</si>
  <si>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</si>
  <si>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</si>
  <si>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</si>
  <si>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</si>
  <si>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</si>
  <si>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</si>
  <si>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</si>
  <si>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</si>
  <si>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</si>
  <si>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</si>
  <si>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</si>
  <si>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</si>
  <si>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</si>
  <si>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</si>
  <si>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</si>
  <si>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</si>
  <si>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</si>
  <si>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</si>
  <si>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</si>
  <si>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</si>
  <si>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</si>
  <si>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</si>
  <si>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</si>
  <si>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</si>
  <si>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</si>
  <si>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</si>
  <si>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</si>
  <si>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</si>
  <si>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</si>
  <si>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</si>
  <si>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</si>
  <si>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</si>
  <si>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</si>
  <si>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</si>
  <si>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</si>
  <si>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</si>
  <si>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</si>
  <si>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</si>
  <si>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</si>
  <si>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</si>
  <si>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</si>
  <si>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</si>
  <si>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</si>
  <si>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</si>
  <si>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</si>
  <si>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</si>
  <si>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</si>
  <si>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</si>
  <si>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</si>
  <si>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</si>
  <si>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</si>
  <si>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</si>
  <si>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</si>
  <si>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</si>
  <si>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</si>
  <si>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</si>
  <si>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</si>
  <si>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</si>
  <si>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</si>
  <si>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</si>
  <si>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</si>
  <si>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</si>
  <si>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</si>
  <si>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</si>
  <si>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</si>
  <si>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</si>
  <si>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</si>
  <si>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</si>
  <si>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</si>
  <si>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</si>
  <si>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</si>
  <si>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</si>
  <si>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</si>
  <si>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</si>
  <si>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</si>
  <si>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</si>
  <si>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</si>
  <si>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</si>
  <si>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</si>
  <si>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</si>
  <si>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</si>
  <si>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</si>
  <si>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</si>
  <si>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</si>
  <si>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</si>
  <si>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</si>
  <si>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</si>
  <si>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</si>
  <si>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</si>
  <si>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</si>
  <si>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</si>
  <si>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</si>
  <si>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</si>
  <si>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</si>
  <si>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</si>
  <si>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</si>
  <si>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</si>
  <si>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</si>
  <si>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</si>
  <si>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</si>
  <si>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</si>
  <si>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</si>
  <si>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</si>
  <si>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</si>
  <si>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</si>
  <si>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</si>
  <si>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</si>
  <si>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</si>
  <si>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</si>
  <si>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</si>
  <si>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</si>
  <si>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</si>
  <si>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</si>
  <si>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</si>
  <si>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</si>
  <si>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</si>
  <si>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</si>
  <si>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</si>
  <si>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</si>
  <si>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</si>
  <si>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</si>
  <si>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</si>
  <si>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</si>
  <si>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</si>
  <si>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</si>
  <si>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</si>
  <si>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</si>
  <si>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</si>
  <si>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</si>
  <si>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</si>
  <si>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</si>
  <si>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</si>
  <si>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</si>
  <si>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</si>
  <si>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</si>
  <si>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</si>
  <si>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</si>
  <si>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</si>
  <si>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</si>
  <si>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</si>
  <si>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</si>
  <si>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</si>
  <si>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</si>
  <si>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</si>
  <si>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</si>
  <si>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</si>
  <si>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</si>
  <si>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</si>
  <si>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</si>
  <si>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</si>
  <si>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</si>
  <si>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</si>
  <si>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</si>
  <si>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</si>
  <si>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</si>
  <si>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</si>
  <si>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</si>
  <si>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</si>
  <si>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</si>
  <si>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</si>
  <si>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</si>
  <si>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</si>
  <si>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</si>
  <si>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</si>
  <si>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</si>
  <si>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</si>
  <si>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</si>
  <si>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</si>
  <si>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</si>
  <si>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</si>
  <si>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</si>
  <si>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</si>
  <si>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</si>
  <si>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</si>
  <si>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</si>
  <si>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</si>
  <si>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</si>
  <si>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</si>
  <si>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</si>
  <si>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</si>
  <si>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</si>
  <si>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</si>
  <si>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</si>
  <si>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</si>
  <si>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</si>
  <si>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</si>
  <si>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</si>
  <si>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</si>
  <si>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</si>
  <si>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</si>
  <si>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</si>
  <si>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</si>
  <si>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</si>
  <si>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</si>
  <si>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</si>
  <si>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</si>
  <si>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</si>
  <si>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</si>
  <si>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</si>
  <si>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</si>
  <si>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</si>
  <si>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</si>
  <si>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</si>
  <si>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</si>
  <si>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</si>
  <si>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</si>
  <si>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</si>
  <si>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</si>
  <si>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</si>
  <si>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</si>
  <si>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</si>
  <si>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</si>
  <si>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</si>
  <si>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</si>
  <si>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</si>
  <si>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</si>
  <si>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</si>
  <si>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</si>
  <si>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</si>
  <si>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</si>
  <si>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</si>
  <si>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</si>
  <si>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</si>
  <si>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</si>
  <si>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</si>
  <si>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Подходящи хора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</si>
  <si>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</si>
  <si>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</si>
  <si>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</si>
  <si>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</si>
  <si>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</si>
  <si>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</si>
  <si>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</si>
  <si>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</si>
  <si>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</si>
  <si>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</si>
  <si>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</si>
  <si>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</si>
  <si>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</si>
  <si>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</si>
  <si>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</si>
  <si>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</si>
  <si>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</si>
  <si>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</si>
  <si>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</si>
  <si>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</si>
  <si>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</si>
  <si>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</si>
  <si>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</si>
  <si>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</si>
  <si>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</si>
  <si>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</si>
  <si>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</si>
  <si>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</si>
  <si>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</si>
  <si>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</si>
  <si>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</si>
  <si>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</si>
  <si>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</si>
  <si>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</si>
  <si>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</si>
  <si>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</si>
  <si>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</si>
  <si>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</si>
  <si>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</si>
  <si>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</si>
  <si>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</si>
  <si>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</si>
  <si>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</si>
  <si>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</si>
  <si>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</si>
  <si>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</si>
  <si>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</si>
  <si>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</si>
  <si>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</si>
  <si>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</si>
  <si>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</si>
  <si>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</si>
  <si>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</si>
  <si>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</si>
  <si>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</si>
  <si>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</si>
  <si>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</si>
  <si>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</si>
  <si>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</si>
  <si>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</si>
  <si>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</si>
  <si>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</si>
  <si>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</si>
  <si>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</si>
  <si>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</si>
  <si>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</si>
  <si>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</si>
  <si>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</si>
  <si>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</si>
  <si>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</si>
  <si>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</si>
  <si>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</si>
  <si>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</si>
  <si>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</si>
  <si>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</si>
  <si>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</si>
  <si>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</si>
  <si>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</si>
  <si>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</si>
  <si>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</si>
  <si>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</si>
  <si>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</si>
  <si>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</si>
  <si>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</si>
  <si>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</si>
  <si>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</si>
  <si>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</si>
  <si>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</si>
  <si>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</si>
  <si>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</si>
  <si>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</si>
  <si>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</si>
  <si>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</si>
  <si>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</si>
  <si>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</si>
  <si>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</si>
  <si>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</si>
  <si>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</si>
  <si>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</si>
  <si>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</si>
  <si>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</si>
  <si>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</si>
  <si>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</si>
  <si>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</si>
  <si>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</si>
  <si>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</si>
  <si>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</si>
  <si>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</si>
  <si>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</si>
  <si>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</si>
  <si>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</si>
  <si>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</si>
  <si>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</si>
  <si>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</si>
  <si>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</si>
  <si>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</si>
  <si>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</si>
  <si>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</si>
  <si>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</si>
  <si>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</si>
  <si>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</si>
  <si>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</si>
  <si>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</si>
  <si>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</si>
  <si>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</si>
  <si>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</si>
  <si>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</si>
  <si>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</si>
  <si>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</si>
  <si>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</si>
  <si>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</si>
  <si>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</si>
  <si>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</si>
  <si>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Фурми</t>
  </si>
  <si>
    <t>Сварен 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</si>
  <si>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</si>
  <si>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</si>
  <si>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</si>
  <si>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</si>
  <si>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</si>
  <si>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</si>
  <si>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</si>
  <si>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</si>
  <si>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</si>
  <si>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</si>
  <si>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</si>
  <si>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</si>
  <si>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</si>
  <si>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</si>
  <si>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Разглабяне на страничния капак</t>
  </si>
  <si>
    <t>махане на дългата лайсна</t>
  </si>
  <si>
    <t>отваряне на мокета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</si>
  <si>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</si>
  <si>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</si>
  <si>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</si>
  <si>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</si>
  <si>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</si>
  <si>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</si>
  <si>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</si>
  <si>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</si>
  <si>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</si>
  <si>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</si>
  <si>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</si>
  <si>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</si>
  <si>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</si>
  <si>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</si>
  <si>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</si>
  <si>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</si>
  <si>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</si>
  <si>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</si>
  <si>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</si>
  <si>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</si>
  <si>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</si>
  <si>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</si>
  <si>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</si>
  <si>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</si>
  <si>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</si>
  <si>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</si>
  <si>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</si>
  <si>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</si>
  <si>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</si>
  <si>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</si>
  <si>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</si>
  <si>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</si>
  <si>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</si>
  <si>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</si>
  <si>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</si>
  <si>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</si>
  <si>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</si>
  <si>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</si>
  <si>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</si>
  <si>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</si>
  <si>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</si>
  <si>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</si>
  <si>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</si>
  <si>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</si>
  <si>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</si>
  <si>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</si>
  <si>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</si>
  <si>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</si>
  <si>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</si>
  <si>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</si>
  <si>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</si>
  <si>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</si>
  <si>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</si>
  <si>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</si>
  <si>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</si>
  <si>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</si>
  <si>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</si>
  <si>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</si>
  <si>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</si>
  <si>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</si>
  <si>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</si>
  <si>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</si>
  <si>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</si>
  <si>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</si>
  <si>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</si>
  <si>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</si>
  <si>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</si>
  <si>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</si>
  <si>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</si>
  <si>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</si>
  <si>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</si>
  <si>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</si>
  <si>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</si>
  <si>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</si>
  <si>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</si>
  <si>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</si>
  <si>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</si>
  <si>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</si>
  <si>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</si>
  <si>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</si>
  <si>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</si>
  <si>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</si>
  <si>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</si>
  <si>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</si>
  <si>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</si>
  <si>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</si>
  <si>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</si>
  <si>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</si>
  <si>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</si>
  <si>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</si>
  <si>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</si>
  <si>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</si>
  <si>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</si>
  <si>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</si>
  <si>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</si>
  <si>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</si>
  <si>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</si>
  <si>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</si>
  <si>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</si>
  <si>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</si>
  <si>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</si>
  <si>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</si>
  <si>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</si>
  <si>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</si>
  <si>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</si>
  <si>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</si>
  <si>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</si>
  <si>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</si>
  <si>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</si>
  <si>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</si>
  <si>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</si>
  <si>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</si>
  <si>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</si>
  <si>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</si>
  <si>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</si>
  <si>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</si>
  <si>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</si>
  <si>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</si>
  <si>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</si>
  <si>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</si>
  <si>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</si>
  <si>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</si>
  <si>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</si>
  <si>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</si>
  <si>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</si>
  <si>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</si>
  <si>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</si>
  <si>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</si>
  <si>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</si>
  <si>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</si>
  <si>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</si>
  <si>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</si>
  <si>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</si>
  <si>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</si>
  <si>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</si>
  <si>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</si>
  <si>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</si>
  <si>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</si>
  <si>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</si>
  <si>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</si>
  <si>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</si>
  <si>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</si>
  <si>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</si>
  <si>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</si>
  <si>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</si>
  <si>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</si>
  <si>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</si>
  <si>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</si>
  <si>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</si>
  <si>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</si>
  <si>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</si>
  <si>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</si>
  <si>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</si>
  <si>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</si>
  <si>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</si>
  <si>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</si>
  <si>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</si>
  <si>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</si>
  <si>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</si>
  <si>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</si>
  <si>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</si>
  <si>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</si>
  <si>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</si>
  <si>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</si>
  <si>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</si>
  <si>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</si>
  <si>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</si>
  <si>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</si>
  <si>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</si>
  <si>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</si>
  <si>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</si>
  <si>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</si>
  <si>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</si>
  <si>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</si>
  <si>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</si>
  <si>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</si>
  <si>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</si>
  <si>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</si>
  <si>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</si>
  <si>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</si>
  <si>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</si>
  <si>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</si>
  <si>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</si>
  <si>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</si>
  <si>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</si>
  <si>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</si>
  <si>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</si>
  <si>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</si>
  <si>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</si>
  <si>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</si>
  <si>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</si>
  <si>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</si>
  <si>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</si>
  <si>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</si>
  <si>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</si>
  <si>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</si>
  <si>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</si>
  <si>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</si>
  <si>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</si>
  <si>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</si>
  <si>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</si>
  <si>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</si>
  <si>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</si>
  <si>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</si>
  <si>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</si>
  <si>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</si>
  <si>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</si>
  <si>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</si>
  <si>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</si>
  <si>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</si>
  <si>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</si>
  <si>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</si>
  <si>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</si>
  <si>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</si>
  <si>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</si>
  <si>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</si>
  <si>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</si>
  <si>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</si>
  <si>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</si>
  <si>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</si>
  <si>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</si>
  <si>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</si>
  <si>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</si>
  <si>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</si>
  <si>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</si>
  <si>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</si>
  <si>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</si>
  <si>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</si>
  <si>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</si>
  <si>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</si>
  <si>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</si>
  <si>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</si>
  <si>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</si>
  <si>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</si>
  <si>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</si>
  <si>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</si>
  <si>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</si>
  <si>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</si>
  <si>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</si>
  <si>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</si>
  <si>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</si>
  <si>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</si>
  <si>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</si>
  <si>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</si>
  <si>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</si>
  <si>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</si>
  <si>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</si>
  <si>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</si>
  <si>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</si>
  <si>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</si>
  <si>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</si>
  <si>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</si>
  <si>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</si>
  <si>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</si>
  <si>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</si>
  <si>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</si>
  <si>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</si>
  <si>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</si>
  <si>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</si>
  <si>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</si>
  <si>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</si>
  <si>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</si>
  <si>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</si>
  <si>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</si>
  <si>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</si>
  <si>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</si>
  <si>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</si>
  <si>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</si>
  <si>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</si>
  <si>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</si>
  <si>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</si>
  <si>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</si>
  <si>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</si>
  <si>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</si>
  <si>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</si>
  <si>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</si>
  <si>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</si>
  <si>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</si>
  <si>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</si>
  <si>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</si>
  <si>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</si>
  <si>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</si>
  <si>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</si>
  <si>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</si>
  <si>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</si>
  <si>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</si>
  <si>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</si>
  <si>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</si>
  <si>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</si>
  <si>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</si>
  <si>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</si>
  <si>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</si>
  <si>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</si>
  <si>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</si>
  <si>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</si>
  <si>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</si>
  <si>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</si>
  <si>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</si>
  <si>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</si>
  <si>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</si>
  <si>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</si>
  <si>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</si>
  <si>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</si>
  <si>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</si>
  <si>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</si>
  <si>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</si>
  <si>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</si>
  <si>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</si>
  <si>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</si>
  <si>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</si>
  <si>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</si>
  <si>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</si>
  <si>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</si>
  <si>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</si>
  <si>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</si>
  <si>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</si>
  <si>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</si>
  <si>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</si>
  <si>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</si>
  <si>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</si>
  <si>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</si>
  <si>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</si>
  <si>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</si>
  <si>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</si>
  <si>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</si>
  <si>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</si>
  <si>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</si>
  <si>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</si>
  <si>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</si>
  <si>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</si>
  <si>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</si>
  <si>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</si>
  <si>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</si>
  <si>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</si>
  <si>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</si>
  <si>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</si>
  <si>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</si>
  <si>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</si>
  <si>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</si>
  <si>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</si>
  <si>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</si>
  <si>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</si>
  <si>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</si>
  <si>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</si>
  <si>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</si>
  <si>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10_000</t>
  </si>
  <si>
    <t>т.е ако иакам да внеса 10000 лв от каса трянва да платя 25 лв</t>
  </si>
  <si>
    <t>т.е ако иакам да изтегля 10000 лв от каса трянва да платя 75 лв</t>
  </si>
  <si>
    <t>Важно</t>
  </si>
  <si>
    <t>Тъй като сключих договор за план Комфорт на който е 12 месеца без такса и 3,5 €/месец след 1 година. Трябва след 12 месеца да сменя плана си от Комфорт на обикновен</t>
  </si>
  <si>
    <t>€</t>
  </si>
  <si>
    <t>Предстоящи задачи</t>
  </si>
  <si>
    <t>Кога</t>
  </si>
  <si>
    <t>Вид задача</t>
  </si>
  <si>
    <t>Гуми</t>
  </si>
  <si>
    <t>Проучване-цени и марки</t>
  </si>
  <si>
    <t>Начална дата: 18,01,2026г</t>
  </si>
  <si>
    <t>Край на договора: Неопредел срок</t>
  </si>
  <si>
    <t>BIC: UBBSBGSF</t>
  </si>
  <si>
    <t>IBAN: BG83 UBBS 8002 1472 3441 10</t>
  </si>
  <si>
    <t>Съдържание:</t>
  </si>
  <si>
    <t>1. Договор за Онлайн банкиране</t>
  </si>
  <si>
    <t>2. Договор за пакет „Комфорт” за физически лица</t>
  </si>
  <si>
    <t>3. Регистрационна карта за онлайн банкиране за физически лица</t>
  </si>
  <si>
    <t>4. Договор за откриване на сметка на клиент</t>
  </si>
  <si>
    <t>5. Удостоверение за банкова сметка – дава се на работодател</t>
  </si>
  <si>
    <t>6. Застрахователен сертификат към договор за застраховка....</t>
  </si>
  <si>
    <t>Банката се задължава да издаде необходимите потребителски имена, пароли</t>
  </si>
  <si>
    <t>Кой от тези два номера ми е важен</t>
  </si>
  <si>
    <t>Кое е потребителското ми име за онлайн банкирането</t>
  </si>
  <si>
    <t>Паролатя е ясна - начертаване на фигурата</t>
  </si>
  <si>
    <t>Накладки + лагер/ Геле</t>
  </si>
  <si>
    <t>Уточняване на дата</t>
  </si>
  <si>
    <t>Sad</t>
  </si>
  <si>
    <t>Run</t>
  </si>
  <si>
    <t>Stressed</t>
  </si>
  <si>
    <t>Meditate</t>
  </si>
  <si>
    <t>Angry</t>
  </si>
  <si>
    <t>Workout</t>
  </si>
  <si>
    <t>Overthinking</t>
  </si>
  <si>
    <t>Walk</t>
  </si>
  <si>
    <t>Bored</t>
  </si>
  <si>
    <t>Socialize</t>
  </si>
  <si>
    <t>Lost</t>
  </si>
  <si>
    <t>Read</t>
  </si>
  <si>
    <t>Anxious</t>
  </si>
  <si>
    <t>Breathe</t>
  </si>
  <si>
    <t>Unmotivated</t>
  </si>
  <si>
    <t>Rest Properly</t>
  </si>
  <si>
    <t>Confused</t>
  </si>
  <si>
    <t>Write it down</t>
  </si>
  <si>
    <t>Lonely</t>
  </si>
  <si>
    <t>Reach out</t>
  </si>
  <si>
    <t>Alive</t>
  </si>
  <si>
    <t>Keep moving forward</t>
  </si>
  <si>
    <t>Feelings</t>
  </si>
  <si>
    <t>If you feel:</t>
  </si>
  <si>
    <t>Do this instead:</t>
  </si>
  <si>
    <t>Всеки ден да повиша дори и малко смелостта си</t>
  </si>
  <si>
    <t xml:space="preserve">Всеки ден да повиша дори и малко силата си </t>
  </si>
  <si>
    <t>Всеки ден да повиша дори и малко теглото си</t>
  </si>
  <si>
    <t>Всеки ден да повиша дори и малко щастието си</t>
  </si>
  <si>
    <t xml:space="preserve">Всеки ден да повиша дори и малко знанията си </t>
  </si>
  <si>
    <t>Действия</t>
  </si>
  <si>
    <t>Като ходя 2-пъти в седмицата на бокс</t>
  </si>
  <si>
    <t>Като уча всеки ден</t>
  </si>
  <si>
    <t>Като си направя план за хранене и го спазвам</t>
  </si>
  <si>
    <t>Като съм благодарен за това което имам</t>
  </si>
  <si>
    <t>Цели личностни</t>
  </si>
  <si>
    <t>Цели материални</t>
  </si>
  <si>
    <t>Да купя къща</t>
  </si>
  <si>
    <t>Страхове</t>
  </si>
  <si>
    <t>Че ще ми увеличат наема</t>
  </si>
  <si>
    <t>Че няма да създам смейство и ще си остана сам</t>
  </si>
  <si>
    <t>Че няма да направя нищо смилено в живота си с което да се гордея</t>
  </si>
  <si>
    <t>„Не съм достатъчен“</t>
  </si>
  <si>
    <t>„Ще се проваля“</t>
  </si>
  <si>
    <t>тревожност / страх</t>
  </si>
  <si>
    <t>отлагане</t>
  </si>
  <si>
    <t>затвърждаване на убеждението</t>
  </si>
  <si>
    <t>Кое влияе на чувствата ми</t>
  </si>
  <si>
    <t>подсъзнанието има по-силното влияние</t>
  </si>
  <si>
    <t>мислите имат по-непосредственото (моментно) влияние върху чувствата.</t>
  </si>
  <si>
    <t>Какво реално усещаш като чувство?</t>
  </si>
  <si>
    <r>
      <t xml:space="preserve">Чувството почти винаги е: </t>
    </r>
    <r>
      <rPr>
        <b/>
        <sz val="11"/>
        <color theme="1"/>
        <rFont val="Calibri"/>
        <family val="2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* </t>
    </r>
    <r>
      <rPr>
        <b/>
        <sz val="11"/>
        <color theme="1"/>
        <rFont val="Calibri"/>
        <family val="2"/>
        <scheme val="minor"/>
      </rPr>
      <t>мисъл</t>
    </r>
  </si>
  <si>
    <t>Слабо подсъзнателно убеждение + силна негативна мисъл = осезаемо чувство</t>
  </si>
  <si>
    <t>Силно негативно подсъзнание + лека мисъл = пак силно чувство</t>
  </si>
  <si>
    <t>Затова понякога:</t>
  </si>
  <si>
    <t>една „дребна“ мисъл удря много силно</t>
  </si>
  <si>
    <t>друг път не те засяга почти изобщо</t>
  </si>
  <si>
    <t>Кой има по-голямо влияние?</t>
  </si>
  <si>
    <t>1. В момента</t>
  </si>
  <si>
    <t>Мислите</t>
  </si>
  <si>
    <t>Те са директният спусък на чувството.</t>
  </si>
  <si>
    <t>2. В дългосрочен план</t>
  </si>
  <si>
    <t>То решава какви мисли ще ти идват най-често и колко „лепкави“ ще са.</t>
  </si>
  <si>
    <t>Практично заключение (много важно)</t>
  </si>
  <si>
    <t>Ако искаш бързо облекчение → работиш с мислите</t>
  </si>
  <si>
    <t>Ако искаш траен ефект → работиш с подсъзнанието</t>
  </si>
  <si>
    <t>Най-силният ефект идва, когато двете работят заедно</t>
  </si>
  <si>
    <r>
      <rPr>
        <b/>
        <sz val="11"/>
        <color theme="1"/>
        <rFont val="Calibri"/>
        <family val="2"/>
        <scheme val="minor"/>
      </rPr>
      <t>Вибрацията</t>
    </r>
    <r>
      <rPr>
        <sz val="11"/>
        <color theme="1"/>
        <rFont val="Calibri"/>
        <family val="2"/>
        <scheme val="minor"/>
      </rPr>
      <t xml:space="preserve"> сумата от </t>
    </r>
    <r>
      <rPr>
        <b/>
        <sz val="11"/>
        <color theme="1"/>
        <rFont val="Calibri"/>
        <family val="2"/>
        <scheme val="minor"/>
      </rPr>
      <t>чувства + мисли</t>
    </r>
    <r>
      <rPr>
        <sz val="11"/>
        <color theme="1"/>
        <rFont val="Calibri"/>
        <family val="2"/>
        <scheme val="minor"/>
      </rPr>
      <t>, които идват от подсъзнанието</t>
    </r>
  </si>
  <si>
    <t>хранене</t>
  </si>
  <si>
    <t>тренировка</t>
  </si>
  <si>
    <t>учене</t>
  </si>
  <si>
    <t>Къща</t>
  </si>
  <si>
    <t>Смелост, Сила , Знание</t>
  </si>
  <si>
    <t>Тегло, щастие</t>
  </si>
  <si>
    <t>Примерен поток</t>
  </si>
  <si>
    <t>Подсъзнанието е източник. Чувствата са езикът, на който то ти говори</t>
  </si>
  <si>
    <r>
      <t xml:space="preserve">Идеята на </t>
    </r>
    <r>
      <rPr>
        <b/>
        <sz val="11"/>
        <color theme="1"/>
        <rFont val="Calibri"/>
        <family val="2"/>
        <charset val="204"/>
        <scheme val="minor"/>
      </rPr>
      <t>Медитацията</t>
    </r>
    <r>
      <rPr>
        <sz val="11"/>
        <color theme="1"/>
        <rFont val="Calibri"/>
        <family val="2"/>
        <scheme val="minor"/>
      </rPr>
      <t xml:space="preserve"> е да изпиташ чувство от постигането на твоя цел и подсъзнанието да запише това чувство</t>
    </r>
  </si>
  <si>
    <t>Налични</t>
  </si>
  <si>
    <t>1 имот</t>
  </si>
  <si>
    <t>Плащаш по 20%(60 000) за 5 имота</t>
  </si>
  <si>
    <t>|</t>
  </si>
  <si>
    <t>имаш 1 имот</t>
  </si>
  <si>
    <t>5 наематели покриват 5-те ипотеки</t>
  </si>
  <si>
    <t>контролираме 5 имота на стойност 1,5 мил, и това не ни струва нищо</t>
  </si>
  <si>
    <t>едно жилище поскъпва с 10%, ти получаваш 30 000. За 5-те жилища получаваш 150 000</t>
  </si>
  <si>
    <t>Поскъпват наемите и вместо за 20 години, изплащаш жилижата за 15</t>
  </si>
  <si>
    <t>След 15 години имаш 5 жилища и може да се пенсионараш</t>
  </si>
  <si>
    <t>Това е разликата между cach и levarage</t>
  </si>
  <si>
    <t>Вариант 1</t>
  </si>
  <si>
    <t>Вариант 2</t>
  </si>
  <si>
    <t>Копуване на имоти</t>
  </si>
  <si>
    <r>
      <t xml:space="preserve">Това не е обвинение. Това е </t>
    </r>
    <r>
      <rPr>
        <b/>
        <sz val="11"/>
        <color theme="1"/>
        <rFont val="Calibri"/>
        <family val="2"/>
        <charset val="204"/>
        <scheme val="minor"/>
      </rPr>
      <t>стандарт</t>
    </r>
    <r>
      <rPr>
        <sz val="11"/>
        <color theme="1"/>
        <rFont val="Calibri"/>
        <family val="2"/>
        <scheme val="minor"/>
      </rPr>
      <t>.</t>
    </r>
  </si>
  <si>
    <t>"Просто приех как се развиха нещата между нас и реших да продължа напред"</t>
  </si>
  <si>
    <t>"Просто видях как се промени отношението към мен и реших да продължа напред"</t>
  </si>
  <si>
    <t>"В един момент усетих, че давам повече енергия, отколкото получавам. Затова реших да се отдръпна."</t>
  </si>
  <si>
    <t>"Мисля, че всеки от нас тръгна по своя път. Аз просто се опитвам да живея по-спокойно"</t>
  </si>
  <si>
    <t>тя контролира дистанцията</t>
  </si>
  <si>
    <t>ти инвестираш повече</t>
  </si>
  <si>
    <t>ти чакаш време от нея</t>
  </si>
  <si>
    <t>тя се появява, когато ѝ е удобно</t>
  </si>
  <si>
    <t>Възможни отговори на "Променил си се"</t>
  </si>
  <si>
    <t>„Ти ме игнорираше…“</t>
  </si>
  <si>
    <t>„Аз се борих 10 години…</t>
  </si>
  <si>
    <t>„Ти не ме оценяваше…“</t>
  </si>
  <si>
    <t>Ключът е да не го обясняваш като обвинение към нея, а като естествена промяна в теб.</t>
  </si>
  <si>
    <t>Тези неща може да са верни, но ги превръщат в спор</t>
  </si>
  <si>
    <t>Ти не я наказваш.</t>
  </si>
  <si>
    <t>Ти не играеш игра</t>
  </si>
  <si>
    <t>Ти просто вече не инвестираш там, където няма взаимност</t>
  </si>
  <si>
    <t>Ако приемеш същата динамика („близки, но не сериозно“), моделът автоматично ще се върне:</t>
  </si>
  <si>
    <t>Ако някога разговорът стигне до връщане на отношенията, можеш спокойно да кажеш нещо такова:</t>
  </si>
  <si>
    <t>„Не мисля, че това би било добро за мен. Ако съм с някого, искам връзката да е ясна и взаимна.“</t>
  </si>
  <si>
    <t>Нейното отношение:</t>
  </si>
  <si>
    <t>картички за празници</t>
  </si>
  <si>
    <t>обаждане</t>
  </si>
  <si>
    <t>въпроси за живота ти</t>
  </si>
  <si>
    <t>снимки от пътуване</t>
  </si>
  <si>
    <t>закачка „не пита къде е“</t>
  </si>
  <si>
    <r>
      <t xml:space="preserve">Това са </t>
    </r>
    <r>
      <rPr>
        <b/>
        <sz val="11"/>
        <color theme="1"/>
        <rFont val="Calibri"/>
        <family val="2"/>
        <charset val="204"/>
        <scheme val="minor"/>
      </rPr>
      <t>контактни сонди</t>
    </r>
    <r>
      <rPr>
        <sz val="11"/>
        <color theme="1"/>
        <rFont val="Calibri"/>
        <family val="2"/>
        <scheme val="minor"/>
      </rPr>
      <t>. Не са покана за връзка.</t>
    </r>
  </si>
  <si>
    <t>Тя проверява:</t>
  </si>
  <si>
    <t>дали още си там</t>
  </si>
  <si>
    <t>дали още реагираш</t>
  </si>
  <si>
    <t>дали още има влияние върху теб</t>
  </si>
  <si>
    <t>Жените уважават много повече мъж, който може да се отдръпне, отколкото мъж, който остава на разположение без край</t>
  </si>
  <si>
    <t>дали още има интерес от твоя страна</t>
  </si>
  <si>
    <t>дали още може да предизвика емоция</t>
  </si>
  <si>
    <t>дали връзката между вас не е напълно изчезнала</t>
  </si>
  <si>
    <r>
      <t xml:space="preserve">Но това </t>
    </r>
    <r>
      <rPr>
        <b/>
        <sz val="11"/>
        <color theme="1"/>
        <rFont val="Calibri"/>
        <family val="2"/>
        <charset val="204"/>
        <scheme val="minor"/>
      </rPr>
      <t>не означава непременно</t>
    </r>
    <r>
      <rPr>
        <sz val="11"/>
        <color theme="1"/>
        <rFont val="Calibri"/>
        <family val="2"/>
        <scheme val="minor"/>
      </rPr>
      <t>, че тя иска да се върне във връзката</t>
    </r>
  </si>
  <si>
    <t>Поведението и:</t>
  </si>
  <si>
    <t>изпраща снимка → но не пита нищо за теб</t>
  </si>
  <si>
    <t>започва разговор → но бърза да го приключи</t>
  </si>
  <si>
    <t>появява се → после пак изчезва</t>
  </si>
  <si>
    <r>
      <t xml:space="preserve">Този модел по-скоро прилича на </t>
    </r>
    <r>
      <rPr>
        <b/>
        <sz val="11"/>
        <color theme="1"/>
        <rFont val="Calibri"/>
        <family val="2"/>
        <charset val="204"/>
        <scheme val="minor"/>
      </rPr>
      <t>поддържане на контакт</t>
    </r>
    <r>
      <rPr>
        <sz val="11"/>
        <color theme="1"/>
        <rFont val="Calibri"/>
        <family val="2"/>
        <scheme val="minor"/>
      </rPr>
      <t xml:space="preserve">, а </t>
    </r>
    <r>
      <rPr>
        <b/>
        <sz val="11"/>
        <color theme="1"/>
        <rFont val="Calibri"/>
        <family val="2"/>
        <charset val="204"/>
        <scheme val="minor"/>
      </rPr>
      <t>не</t>
    </r>
    <r>
      <rPr>
        <sz val="11"/>
        <color theme="1"/>
        <rFont val="Calibri"/>
        <family val="2"/>
        <scheme val="minor"/>
      </rPr>
      <t xml:space="preserve"> на реално приближаване.</t>
    </r>
  </si>
  <si>
    <t>Не я обвиняваш:</t>
  </si>
  <si>
    <t>Твоето отношение:</t>
  </si>
  <si>
    <t>Ти:</t>
  </si>
  <si>
    <t>отговаряш спокойно</t>
  </si>
  <si>
    <t>не преследваш</t>
  </si>
  <si>
    <t>не се опитваш да впечатляваш</t>
  </si>
  <si>
    <t>не се обясняваш</t>
  </si>
  <si>
    <t>Като правя всеки ден нещо което е трудно, неприятно за мен</t>
  </si>
  <si>
    <t>Кога то дойде времето за действието описано в организацията - да се направи</t>
  </si>
  <si>
    <t>Какво ще е нещото което ще се търси след 5 години?</t>
  </si>
  <si>
    <t>програмисти</t>
  </si>
  <si>
    <t>не</t>
  </si>
  <si>
    <t>електротехници</t>
  </si>
  <si>
    <t>да</t>
  </si>
  <si>
    <t>пто</t>
  </si>
  <si>
    <t>Идея</t>
  </si>
  <si>
    <t>Ел. Услуги на богати клиенти</t>
  </si>
  <si>
    <t>Възможност за изтегляне на добър кредит</t>
  </si>
  <si>
    <t>Как мога да изкарам за 20 човека пари?</t>
  </si>
  <si>
    <t>1. Като взема работа в голям обем като за 20 човека</t>
  </si>
  <si>
    <t>2. Като намеря някой който да плати за тази работа</t>
  </si>
  <si>
    <t>4. Готово</t>
  </si>
  <si>
    <t>"Щом мога да свърша за 20 човека работа =&gt; мога да изкарам за 20 пари"</t>
  </si>
  <si>
    <r>
      <t xml:space="preserve">3. Свършвам работата </t>
    </r>
    <r>
      <rPr>
        <b/>
        <sz val="11"/>
        <color theme="1"/>
        <rFont val="Calibri"/>
        <family val="2"/>
        <charset val="204"/>
        <scheme val="minor"/>
      </rPr>
      <t>сам</t>
    </r>
  </si>
  <si>
    <t>Вереятност 5%</t>
  </si>
  <si>
    <t>Вид работа: IT</t>
  </si>
  <si>
    <t>Хора които я предлагат: 0</t>
  </si>
  <si>
    <t>Вереятност 60%</t>
  </si>
  <si>
    <r>
      <t xml:space="preserve">3. Като намеря </t>
    </r>
    <r>
      <rPr>
        <b/>
        <sz val="11"/>
        <color theme="1"/>
        <rFont val="Calibri"/>
        <family val="2"/>
        <charset val="204"/>
        <scheme val="minor"/>
      </rPr>
      <t>хора</t>
    </r>
    <r>
      <rPr>
        <sz val="11"/>
        <color theme="1"/>
        <rFont val="Calibri"/>
        <family val="2"/>
        <scheme val="minor"/>
      </rPr>
      <t xml:space="preserve"> които да я свършат</t>
    </r>
  </si>
  <si>
    <t>Вид работа: Електро, голям обект</t>
  </si>
  <si>
    <t>Хора които я предлагат: 5-10</t>
  </si>
  <si>
    <t>1. Да намеря голям пазар</t>
  </si>
  <si>
    <t>3. Да намеря клиенти</t>
  </si>
  <si>
    <t>Вариант 3</t>
  </si>
  <si>
    <t xml:space="preserve">2. Да намеря от къде да купувам </t>
  </si>
  <si>
    <t>2. Като намеря някой, който да плати за тази работа</t>
  </si>
  <si>
    <t>Вид работа: Търговия</t>
  </si>
  <si>
    <t>Вереятност 10%</t>
  </si>
  <si>
    <t>Бизнес прозрения</t>
  </si>
  <si>
    <t>Какво им трябва?</t>
  </si>
  <si>
    <t>технически съппорт</t>
  </si>
  <si>
    <t>документално легализиране на надценката</t>
  </si>
  <si>
    <t>бързо доставяне на материалите</t>
  </si>
  <si>
    <t>доставка до обекта - понякога</t>
  </si>
  <si>
    <t>качествени материали</t>
  </si>
  <si>
    <t>оферти</t>
  </si>
  <si>
    <t>редовни поръчки</t>
  </si>
  <si>
    <t>1. Да продаваш на майстори(Тони, Краси, Влади Пешев, Иван Луксера, Владо Кади)</t>
  </si>
  <si>
    <t>прадаваш на -20%, не на -40%</t>
  </si>
  <si>
    <t>Какво ще получиш?</t>
  </si>
  <si>
    <t>2. Да извършваш ел.услуги на частни клиенти</t>
  </si>
  <si>
    <t>качествено свършена работа</t>
  </si>
  <si>
    <t>нормални цени</t>
  </si>
  <si>
    <t>отзоваване в нормален срок</t>
  </si>
  <si>
    <t>гаранция и поеманена на бъдеща повреда</t>
  </si>
  <si>
    <t>спокойствие че ще свършиш работата перфектно</t>
  </si>
  <si>
    <t>бързи и добри пари</t>
  </si>
  <si>
    <t>печалба от труд и материли</t>
  </si>
  <si>
    <t>управление на времето си</t>
  </si>
  <si>
    <t>възможност за увеличаване на клиентите</t>
  </si>
  <si>
    <t>venv in the brain</t>
  </si>
  <si>
    <t>1. Живея в изобилие</t>
  </si>
  <si>
    <t>3. Имам безкрайни възможности</t>
  </si>
  <si>
    <t>4. Живея най-щастливия си живот</t>
  </si>
  <si>
    <t>7. Живея в спокойствие и хармония със себе си</t>
  </si>
  <si>
    <t>8. Живея със самочувствие и гордост от себе си</t>
  </si>
  <si>
    <t xml:space="preserve">9. Живея е силно и здраво тяло </t>
  </si>
  <si>
    <t>12. Живея с любов в сърцето си</t>
  </si>
  <si>
    <t>10. Живея със смел и безстрашен характер</t>
  </si>
  <si>
    <t>11. Живея с солидни бойни умения, които ми дават смелост за всичко, което искам да направя</t>
  </si>
  <si>
    <t>2. Живея в перфектно здраве</t>
  </si>
  <si>
    <t>13. Живея със огромни знания, които хората търсят и искат да платят за тях</t>
  </si>
  <si>
    <t>14. Живея без хора които да ме карат да се чувствам малък</t>
  </si>
  <si>
    <t>15. Живея и знам че проблемите ми са временни</t>
  </si>
  <si>
    <t xml:space="preserve">19. Болката е моя приятелка, която ми помага да постигна целите си </t>
  </si>
  <si>
    <t>20. Тази витруална среда ми е напълно достатъчна за да съм щастлив без външно обстоятелство</t>
  </si>
  <si>
    <t>5. Живея без да се сравнявам, съобразявам и влияя от мнението на другите</t>
  </si>
  <si>
    <t>6. Правя това което ме прави щастлив</t>
  </si>
  <si>
    <t>17. Хобито ми е да подобрявам себе си</t>
  </si>
  <si>
    <t>16. Вълнувам се искрено от постигането на целите си</t>
  </si>
  <si>
    <t>18. Живея без да съжалявам за миналото и без да страхувам от бъдещето</t>
  </si>
  <si>
    <t>Цел 78 кг</t>
  </si>
  <si>
    <t>Основни цели</t>
  </si>
  <si>
    <t>Калории: ~2900–3300 kcal/ден</t>
  </si>
  <si>
    <t>Протеин: 140–160 г</t>
  </si>
  <si>
    <t>Въглехидрати: 350–450 г</t>
  </si>
  <si>
    <t>Мазнини: 70–90 г</t>
  </si>
  <si>
    <t>Вода: 2.5–3.5 л</t>
  </si>
  <si>
    <t>Ден 1</t>
  </si>
  <si>
    <t>100 г овес</t>
  </si>
  <si>
    <t>300 мл прясно мляко</t>
  </si>
  <si>
    <t>1 банан</t>
  </si>
  <si>
    <t>30 г фъстъчено масло</t>
  </si>
  <si>
    <t>3 яйца</t>
  </si>
  <si>
    <t>кисело мляко</t>
  </si>
  <si>
    <t>шепа ядки</t>
  </si>
  <si>
    <t>мед</t>
  </si>
  <si>
    <t>200 г пилешко</t>
  </si>
  <si>
    <t>150 г ориз</t>
  </si>
  <si>
    <t>салата + зехтин</t>
  </si>
  <si>
    <t>Преди тренировка</t>
  </si>
  <si>
    <t>банан</t>
  </si>
  <si>
    <t>2 филии с фъстъчено масло</t>
  </si>
  <si>
    <t>200 г телешко/кайма</t>
  </si>
  <si>
    <t>картофи</t>
  </si>
  <si>
    <t>зеленчуци</t>
  </si>
  <si>
    <t>Тренировка</t>
  </si>
  <si>
    <t>Лицеви опори — 4x15</t>
  </si>
  <si>
    <t>Кофички — 4x8–12</t>
  </si>
  <si>
    <t>Набирания — 4xмакс</t>
  </si>
  <si>
    <t>Австралийски набирания — 3x12</t>
  </si>
  <si>
    <t>Лицеви с тесен хват — 3x12</t>
  </si>
  <si>
    <t>Планк — 3x1 мин</t>
  </si>
  <si>
    <t>След тренировка</t>
  </si>
  <si>
    <t>500 мл мляко</t>
  </si>
  <si>
    <t>Ден 2</t>
  </si>
  <si>
    <t>4 яйца</t>
  </si>
  <si>
    <t>сирене</t>
  </si>
  <si>
    <t>хляб</t>
  </si>
  <si>
    <t>домати</t>
  </si>
  <si>
    <t>200 г свинско/пилешко</t>
  </si>
  <si>
    <t>150 г картофи</t>
  </si>
  <si>
    <t>салата</t>
  </si>
  <si>
    <t>ориз + яйца</t>
  </si>
  <si>
    <t>или</t>
  </si>
  <si>
    <t>протеин + банан</t>
  </si>
  <si>
    <t>паста с кайма</t>
  </si>
  <si>
    <t>Тренировка - Крака</t>
  </si>
  <si>
    <t>Тренировка Гърди + Лостове</t>
  </si>
  <si>
    <t>Клекове — 5x8–10</t>
  </si>
  <si>
    <t>Български клек — 4x10</t>
  </si>
  <si>
    <t>Напади — 3x12</t>
  </si>
  <si>
    <t>Глутеус мост — 4x12</t>
  </si>
  <si>
    <t>Прасци — 4x20</t>
  </si>
  <si>
    <t>Корем — 10 мин</t>
  </si>
  <si>
    <t>Ден 3</t>
  </si>
  <si>
    <t>Хранене</t>
  </si>
  <si>
    <t>Подобно на Ден 1, но увеличи ориза/пастата</t>
  </si>
  <si>
    <t>Гръб + Бицепс</t>
  </si>
  <si>
    <t>Набирания широк хват — 5xмакс</t>
  </si>
  <si>
    <t>Chin-ups — 4xмакс</t>
  </si>
  <si>
    <t>Гребане с дъмбел/ластици — 4x10</t>
  </si>
  <si>
    <t>Австралийски набирания — 4x12</t>
  </si>
  <si>
    <t>Сгъване за бицепс — 4x12</t>
  </si>
  <si>
    <t>Hammer curls — 3x12</t>
  </si>
  <si>
    <t>Повдигане на крака от вис — 4x12</t>
  </si>
  <si>
    <t>Ден 4</t>
  </si>
  <si>
    <t>Почивка + Храна</t>
  </si>
  <si>
    <r>
      <rPr>
        <b/>
        <sz val="11"/>
        <color theme="1"/>
        <rFont val="Calibri"/>
        <family val="2"/>
        <charset val="204"/>
        <scheme val="minor"/>
      </rPr>
      <t>Фокус</t>
    </r>
    <r>
      <rPr>
        <sz val="11"/>
        <color theme="1"/>
        <rFont val="Calibri"/>
        <family val="2"/>
        <scheme val="minor"/>
      </rPr>
      <t>: повече калории, възстановяване</t>
    </r>
  </si>
  <si>
    <t>Яж:</t>
  </si>
  <si>
    <t>ориз</t>
  </si>
  <si>
    <t>паста</t>
  </si>
  <si>
    <t>месо</t>
  </si>
  <si>
    <t>ядки</t>
  </si>
  <si>
    <t>плодове</t>
  </si>
  <si>
    <t>Ден 5</t>
  </si>
  <si>
    <t>Рамо + Експлозивност</t>
  </si>
  <si>
    <t>Pike push-ups — 4x10</t>
  </si>
  <si>
    <t>Раменни преси — 4x10</t>
  </si>
  <si>
    <t>Странично вдигане — 4x15</t>
  </si>
  <si>
    <t>Explosive push-ups — 4x8</t>
  </si>
  <si>
    <t>Burpees — 3x15</t>
  </si>
  <si>
    <t>Повече въглехидрати:</t>
  </si>
  <si>
    <t>овес</t>
  </si>
  <si>
    <t>банани</t>
  </si>
  <si>
    <t>Ден 6</t>
  </si>
  <si>
    <t>Бокс (1.5 часа)</t>
  </si>
  <si>
    <t>Това е сериозно кардио, така че:</t>
  </si>
  <si>
    <t>не режи храната;</t>
  </si>
  <si>
    <t>яж повече въглехидрати</t>
  </si>
  <si>
    <t>Преди бокс</t>
  </si>
  <si>
    <t>овес + банан</t>
  </si>
  <si>
    <t>кафе (по желание)</t>
  </si>
  <si>
    <t>След бокс</t>
  </si>
  <si>
    <t>ориз + месо</t>
  </si>
  <si>
    <t>шейк + банан + сандвич</t>
  </si>
  <si>
    <t>Допълнително</t>
  </si>
  <si>
    <t>Лека тренировка:</t>
  </si>
  <si>
    <t>набирания 3 серии</t>
  </si>
  <si>
    <t>кофички 3 серии</t>
  </si>
  <si>
    <t>стречинг</t>
  </si>
  <si>
    <t>Ден 7</t>
  </si>
  <si>
    <t>Цяло тяло</t>
  </si>
  <si>
    <t>Кофички — 4xмакс</t>
  </si>
  <si>
    <t>Клекове — 4x15</t>
  </si>
  <si>
    <t>Лицеви — 4x20</t>
  </si>
  <si>
    <t>Планк — 3 серии</t>
  </si>
  <si>
    <t>“Cheat meal” е ок:</t>
  </si>
  <si>
    <t>бургер</t>
  </si>
  <si>
    <t>пица</t>
  </si>
  <si>
    <t>Но дръж протеина висок</t>
  </si>
  <si>
    <t>Най-важните храни за качване</t>
  </si>
  <si>
    <t>Евтини и ефективни</t>
  </si>
  <si>
    <t>пилешко</t>
  </si>
  <si>
    <t>кайма</t>
  </si>
  <si>
    <t>фъстъчено масло</t>
  </si>
  <si>
    <t>Как да разбереш дали работи</t>
  </si>
  <si>
    <t>Следи:</t>
  </si>
  <si>
    <t>тегло сутрин;</t>
  </si>
  <si>
    <t>снимки;</t>
  </si>
  <si>
    <t>сила.</t>
  </si>
  <si>
    <t>Ако:</t>
  </si>
  <si>
    <t>качваш сила;</t>
  </si>
  <si>
    <t>качваш 1–2 кг месечно;</t>
  </si>
  <si>
    <t>значи си в правилната посока.</t>
  </si>
  <si>
    <t>Важни цели за първите 6 месеца</t>
  </si>
  <si>
    <t>Опитай да стигнеш:</t>
  </si>
  <si>
    <t>12–15 набирания;</t>
  </si>
  <si>
    <t>20+ кофички;</t>
  </si>
  <si>
    <t>100+ клекове;</t>
  </si>
  <si>
    <t>Иванка</t>
  </si>
  <si>
    <t>Васил</t>
  </si>
  <si>
    <t>Асен</t>
  </si>
  <si>
    <t>Марийка</t>
  </si>
  <si>
    <t>Сандо</t>
  </si>
  <si>
    <t>Сергия</t>
  </si>
  <si>
    <t>Сашо</t>
  </si>
  <si>
    <t>Росица</t>
  </si>
  <si>
    <t>Надка</t>
  </si>
  <si>
    <t>Родата на баща ми</t>
  </si>
  <si>
    <t>Родата на майка ми</t>
  </si>
  <si>
    <t>Янко</t>
  </si>
  <si>
    <t>Живка</t>
  </si>
  <si>
    <t>Богомил</t>
  </si>
  <si>
    <t>Яне</t>
  </si>
  <si>
    <t>Станка</t>
  </si>
  <si>
    <t>Верка</t>
  </si>
  <si>
    <t>Да питам вуйчо</t>
  </si>
  <si>
    <t>Баба Живка</t>
  </si>
  <si>
    <t>Погребана на:</t>
  </si>
  <si>
    <t>Родена на:</t>
  </si>
  <si>
    <t>Почина на 79:</t>
  </si>
  <si>
    <t>Минали са дни:</t>
  </si>
  <si>
    <t>Минали са години:</t>
  </si>
  <si>
    <t>Тук използваме DATEDIF() funcrion</t>
  </si>
  <si>
    <t>Syntax</t>
  </si>
  <si>
    <t>DATEDIF(first_date, second_date, type_returned_diff)</t>
  </si>
  <si>
    <t>Y - year</t>
  </si>
  <si>
    <t>type_returned_diff</t>
  </si>
  <si>
    <t>YM - months</t>
  </si>
  <si>
    <t>MD - days</t>
  </si>
  <si>
    <t>Функцията изчислява години, месеци и дни като разлика между две дати</t>
  </si>
  <si>
    <t>Как аз да се запозная с повече хора като Стефан Янков</t>
  </si>
  <si>
    <t>Кога не съм сериозен?</t>
  </si>
  <si>
    <t>Защо днес изпих 2 кафета?</t>
  </si>
  <si>
    <t>Защото вчера довърших таблото и го използвах като награда</t>
  </si>
  <si>
    <t>изкуствен интелект, за идеи за готвене, пресмятане на калории</t>
  </si>
  <si>
    <t>събиране на информация за хранене и трениране</t>
  </si>
  <si>
    <t>дисциплина за готвене</t>
  </si>
  <si>
    <t>дисциплина за хранене</t>
  </si>
  <si>
    <t>спокойствието на водата</t>
  </si>
  <si>
    <t>емоциите</t>
  </si>
  <si>
    <t>Ако водата е спокойна - значи си в равновесие</t>
  </si>
  <si>
    <t>ръцете, които държат съда</t>
  </si>
  <si>
    <t>мислите</t>
  </si>
  <si>
    <t>Ако мислите ти са положителни - емоциите са спокойни</t>
  </si>
  <si>
    <t>цвета на стъклото на съда</t>
  </si>
  <si>
    <t>подсъзнание и вярвания</t>
  </si>
  <si>
    <r>
      <t xml:space="preserve">Ако вярванията ти са положителни - цвета е хубав и съда изглежда добре. </t>
    </r>
    <r>
      <rPr>
        <sz val="11"/>
        <color rgb="FFC00000"/>
        <rFont val="Calibri"/>
        <family val="2"/>
        <charset val="204"/>
        <scheme val="minor"/>
      </rPr>
      <t>Това влияе на действията ти</t>
    </r>
  </si>
  <si>
    <t>дебелината/здравината на съда</t>
  </si>
  <si>
    <t>сила на духа и характер</t>
  </si>
  <si>
    <t>Ако си силен физически и ментално дебелината на съда е здрава</t>
  </si>
  <si>
    <t>красиви цветове и форми на съда</t>
  </si>
  <si>
    <t>действия и навици</t>
  </si>
  <si>
    <r>
      <t xml:space="preserve">Ако действията ти са добри, стените на съда се оцветяват в красиви цветове - </t>
    </r>
    <r>
      <rPr>
        <sz val="11"/>
        <color rgb="FFC00000"/>
        <rFont val="Calibri"/>
        <family val="2"/>
        <charset val="204"/>
        <scheme val="minor"/>
      </rPr>
      <t>това е реалнията ти живот</t>
    </r>
  </si>
  <si>
    <t>формата на съда</t>
  </si>
  <si>
    <t>тялото</t>
  </si>
  <si>
    <t>Ако тренираш, съда ще има красива форма</t>
  </si>
  <si>
    <t>Бистротата на водата</t>
  </si>
  <si>
    <t>щастие и вътрешна чистота</t>
  </si>
  <si>
    <t>Ако си щастлив, водата ще бъде чиста, бистра</t>
  </si>
  <si>
    <t>Количеството на водата</t>
  </si>
  <si>
    <t>Жизнената енергия</t>
  </si>
  <si>
    <t>Ако имаш енергия, мотиовация, сили за действие - водата е много</t>
  </si>
  <si>
    <t>Големината на съда</t>
  </si>
  <si>
    <t>Съзнанието / нивото на осъзнатост</t>
  </si>
  <si>
    <t>Колкото по-широко е съзнанието ти, толкова повече от живота можеш да побереш и разбереш.</t>
  </si>
  <si>
    <t>Човешки живот - съд с вода</t>
  </si>
  <si>
    <t>Ти</t>
  </si>
  <si>
    <t>Ти си осъзнатостта която наблюдава съда, не си чувствата, не си мислите</t>
  </si>
  <si>
    <t>осъзнатост</t>
  </si>
  <si>
    <t>As a man thinketh by James Alien</t>
  </si>
  <si>
    <t>Мислиш, ствараш</t>
  </si>
  <si>
    <t>Мисли и действай всеки ден</t>
  </si>
  <si>
    <t>Мисълта е искра</t>
  </si>
  <si>
    <t>Действието е горивото</t>
  </si>
  <si>
    <t>Навика е двигателя</t>
  </si>
  <si>
    <t>Съдбата е дестинацията</t>
  </si>
  <si>
    <t>Аз съм създателя на моя живот</t>
  </si>
  <si>
    <t>Мислите ти са семената</t>
  </si>
  <si>
    <t>Обстоятелствата са реколтата</t>
  </si>
  <si>
    <t>Мислите оформят характера(сумата от повторените ти мисли)</t>
  </si>
  <si>
    <t>Мислите ти създават обстоятелствата</t>
  </si>
  <si>
    <t>Целта направлява мислите. Всяка сутрин си задай въпроса "каква е целта ми за днес"</t>
  </si>
  <si>
    <t>Самоконтрола изгражда сила и това се случва когато човек започне да контролира мислите си.</t>
  </si>
  <si>
    <t>Спокойствието е най-висша форма на майсторство</t>
  </si>
  <si>
    <t>Следи мислите си</t>
  </si>
  <si>
    <t>Избери идеалите си и приравни мислите си спрямо тях</t>
  </si>
  <si>
    <t>Визуализирай с цел</t>
  </si>
  <si>
    <t>не реагирай, а отговаряй</t>
  </si>
  <si>
    <t xml:space="preserve">Семената са ръцети те, почвата е в ума ти, реколтата е твоето бъдеще </t>
  </si>
  <si>
    <t>Какъв живот създавам с мислите които имам днес?</t>
  </si>
  <si>
    <t>Atomic habits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</si>
</sst>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8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8" fillId="0" borderId="2" xfId="0" applyFont="1" applyBorder="1"/>
    <xf numFmtId="0" fontId="19" fillId="0" borderId="0" xfId="0" applyFont="1"/>
    <xf numFmtId="0" fontId="17" fillId="0" borderId="0" xfId="0" applyFont="1"/>
    <xf numFmtId="0" fontId="0" fillId="0" borderId="0" xfId="0" applyAlignment="1">
      <alignment horizontal="center"/>
    </xf>
    <xf numFmtId="0" fontId="19" fillId="0" borderId="0" xfId="0" applyFont="1" applyAlignment="1">
      <alignment horizontal="center"/>
    </xf>
    <xf numFmtId="0" fontId="16" fillId="0" borderId="0" xfId="0" applyFont="1"/>
    <xf numFmtId="0" fontId="0" fillId="0" borderId="0" xfId="0" applyBorder="1" applyAlignment="1">
      <alignment horizontal="left"/>
    </xf>
    <xf numFmtId="0" fontId="20" fillId="0" borderId="0" xfId="0" applyFont="1"/>
    <xf numFmtId="0" fontId="15" fillId="0" borderId="0" xfId="0" applyFont="1"/>
    <xf numFmtId="0" fontId="0" fillId="0" borderId="9" xfId="0" applyBorder="1"/>
    <xf numFmtId="0" fontId="22" fillId="0" borderId="0" xfId="0" applyFont="1"/>
    <xf numFmtId="0" fontId="18" fillId="0" borderId="9" xfId="0" applyFont="1" applyBorder="1"/>
    <xf numFmtId="0" fontId="23" fillId="0" borderId="0" xfId="0" applyFont="1"/>
    <xf numFmtId="0" fontId="0" fillId="2" borderId="0" xfId="0" applyFill="1"/>
    <xf numFmtId="0" fontId="24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9" fillId="0" borderId="10" xfId="0" applyFont="1" applyBorder="1"/>
    <xf numFmtId="0" fontId="0" fillId="0" borderId="11" xfId="0" applyBorder="1"/>
    <xf numFmtId="0" fontId="0" fillId="0" borderId="12" xfId="0" applyBorder="1"/>
    <xf numFmtId="0" fontId="11" fillId="0" borderId="11" xfId="0" applyFont="1" applyBorder="1"/>
    <xf numFmtId="0" fontId="11" fillId="0" borderId="10" xfId="0" applyFont="1" applyBorder="1"/>
    <xf numFmtId="0" fontId="11" fillId="0" borderId="12" xfId="0" applyFont="1" applyBorder="1"/>
    <xf numFmtId="0" fontId="0" fillId="0" borderId="10" xfId="0" applyBorder="1"/>
    <xf numFmtId="0" fontId="19" fillId="0" borderId="12" xfId="0" applyFont="1" applyBorder="1"/>
    <xf numFmtId="0" fontId="25" fillId="0" borderId="0" xfId="0" applyFont="1"/>
    <xf numFmtId="0" fontId="19" fillId="0" borderId="2" xfId="0" applyFont="1" applyBorder="1"/>
    <xf numFmtId="0" fontId="19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9" fillId="0" borderId="1" xfId="0" applyFont="1" applyBorder="1"/>
    <xf numFmtId="0" fontId="19" fillId="0" borderId="9" xfId="0" applyFont="1" applyBorder="1"/>
    <xf numFmtId="0" fontId="0" fillId="0" borderId="9" xfId="0" applyBorder="1" applyAlignment="1">
      <alignment wrapText="1"/>
    </xf>
    <xf numFmtId="0" fontId="19" fillId="0" borderId="11" xfId="0" applyFont="1" applyBorder="1"/>
    <xf numFmtId="0" fontId="19" fillId="0" borderId="9" xfId="0" applyFont="1" applyBorder="1" applyAlignment="1">
      <alignment horizontal="center"/>
    </xf>
    <xf numFmtId="14" fontId="0" fillId="0" borderId="0" xfId="0" applyNumberFormat="1"/>
    <xf numFmtId="0" fontId="19" fillId="0" borderId="4" xfId="0" applyFont="1" applyBorder="1" applyAlignment="1">
      <alignment horizontal="right"/>
    </xf>
    <xf numFmtId="0" fontId="19" fillId="0" borderId="6" xfId="0" applyFont="1" applyBorder="1"/>
    <xf numFmtId="0" fontId="23" fillId="0" borderId="0" xfId="0" applyFont="1" applyBorder="1"/>
    <xf numFmtId="0" fontId="10" fillId="0" borderId="0" xfId="0" applyFont="1"/>
    <xf numFmtId="0" fontId="9" fillId="0" borderId="0" xfId="0" applyFont="1"/>
    <xf numFmtId="0" fontId="0" fillId="0" borderId="10" xfId="0" applyFill="1" applyBorder="1"/>
    <xf numFmtId="0" fontId="0" fillId="0" borderId="9" xfId="0" applyFill="1" applyBorder="1"/>
    <xf numFmtId="0" fontId="26" fillId="0" borderId="0" xfId="0" applyFont="1"/>
    <xf numFmtId="0" fontId="0" fillId="0" borderId="0" xfId="0" quotePrefix="1"/>
    <xf numFmtId="9" fontId="0" fillId="0" borderId="0" xfId="0" applyNumberFormat="1"/>
    <xf numFmtId="0" fontId="19" fillId="0" borderId="0" xfId="0" quotePrefix="1" applyFont="1"/>
    <xf numFmtId="0" fontId="24" fillId="0" borderId="10" xfId="0" applyFont="1" applyBorder="1"/>
    <xf numFmtId="0" fontId="19" fillId="0" borderId="0" xfId="0" applyFont="1" applyBorder="1"/>
    <xf numFmtId="0" fontId="8" fillId="0" borderId="10" xfId="0" applyFont="1" applyBorder="1"/>
    <xf numFmtId="0" fontId="27" fillId="0" borderId="12" xfId="0" applyFont="1" applyBorder="1"/>
    <xf numFmtId="0" fontId="8" fillId="0" borderId="0" xfId="0" applyFont="1"/>
    <xf numFmtId="0" fontId="7" fillId="0" borderId="0" xfId="0" applyFont="1"/>
    <xf numFmtId="0" fontId="6" fillId="0" borderId="0" xfId="0" applyFont="1"/>
    <xf numFmtId="0" fontId="20" fillId="0" borderId="2" xfId="0" applyFont="1" applyBorder="1"/>
    <xf numFmtId="0" fontId="20" fillId="0" borderId="3" xfId="0" applyFont="1" applyBorder="1"/>
    <xf numFmtId="0" fontId="24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0" fontId="5" fillId="0" borderId="0" xfId="0" applyFont="1"/>
    <xf numFmtId="0" fontId="24" fillId="0" borderId="3" xfId="0" applyFont="1" applyBorder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0" xfId="0" applyAlignment="1">
      <alignment horizontal="left"/>
    </xf>
    <xf numFmtId="0" fontId="0" fillId="0" borderId="0" xfId="0" applyFill="1" applyBorder="1"/>
    <xf numFmtId="0" fontId="0" fillId="0" borderId="13" xfId="0" applyBorder="1"/>
    <xf numFmtId="3" fontId="0" fillId="0" borderId="14" xfId="0" applyNumberFormat="1" applyBorder="1"/>
    <xf numFmtId="3" fontId="0" fillId="0" borderId="2" xfId="0" applyNumberFormat="1" applyBorder="1"/>
    <xf numFmtId="0" fontId="0" fillId="0" borderId="14" xfId="0" applyBorder="1"/>
    <xf numFmtId="0" fontId="0" fillId="0" borderId="15" xfId="0" applyBorder="1"/>
    <xf numFmtId="9" fontId="0" fillId="0" borderId="0" xfId="0" applyNumberFormat="1" applyBorder="1"/>
    <xf numFmtId="9" fontId="0" fillId="0" borderId="7" xfId="0" applyNumberFormat="1" applyBorder="1"/>
    <xf numFmtId="0" fontId="4" fillId="0" borderId="0" xfId="0" applyFont="1"/>
    <xf numFmtId="0" fontId="21" fillId="0" borderId="0" xfId="0" applyFont="1"/>
    <xf numFmtId="0" fontId="3" fillId="0" borderId="0" xfId="0" applyFont="1"/>
    <xf numFmtId="0" fontId="2" fillId="0" borderId="0" xfId="0" applyFont="1"/>
    <xf numFmtId="0" fontId="0" fillId="2" borderId="9" xfId="0" applyFill="1" applyBorder="1"/>
    <xf numFmtId="0" fontId="22" fillId="2" borderId="9" xfId="0" applyFont="1" applyFill="1" applyBorder="1"/>
    <xf numFmtId="14" fontId="0" fillId="0" borderId="7" xfId="0" applyNumberFormat="1" applyBorder="1"/>
    <xf numFmtId="0" fontId="0" fillId="4" borderId="7" xfId="0" applyFill="1" applyBorder="1"/>
    <xf numFmtId="1" fontId="0" fillId="4" borderId="8" xfId="0" applyNumberFormat="1" applyFill="1" applyBorder="1"/>
    <xf numFmtId="14" fontId="0" fillId="5" borderId="7" xfId="0" applyNumberFormat="1" applyFill="1" applyBorder="1"/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82</xdr:row>
      <xdr:rowOff>115614</xdr:rowOff>
    </xdr:from>
    <xdr:to>
      <xdr:col>6</xdr:col>
      <xdr:colOff>504497</xdr:colOff>
      <xdr:row>82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82</xdr:row>
      <xdr:rowOff>99848</xdr:rowOff>
    </xdr:from>
    <xdr:to>
      <xdr:col>9</xdr:col>
      <xdr:colOff>546538</xdr:colOff>
      <xdr:row>82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82</xdr:row>
      <xdr:rowOff>94593</xdr:rowOff>
    </xdr:from>
    <xdr:to>
      <xdr:col>3</xdr:col>
      <xdr:colOff>504497</xdr:colOff>
      <xdr:row>82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13</xdr:row>
      <xdr:rowOff>130328</xdr:rowOff>
    </xdr:from>
    <xdr:to>
      <xdr:col>4</xdr:col>
      <xdr:colOff>1273591</xdr:colOff>
      <xdr:row>19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13</xdr:row>
      <xdr:rowOff>160808</xdr:rowOff>
    </xdr:from>
    <xdr:to>
      <xdr:col>4</xdr:col>
      <xdr:colOff>1136431</xdr:colOff>
      <xdr:row>19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141889</xdr:colOff>
      <xdr:row>15</xdr:row>
      <xdr:rowOff>110359</xdr:rowOff>
    </xdr:from>
    <xdr:to>
      <xdr:col>3</xdr:col>
      <xdr:colOff>430924</xdr:colOff>
      <xdr:row>17</xdr:row>
      <xdr:rowOff>68317</xdr:rowOff>
    </xdr:to>
    <xdr:sp macro="" textlink="">
      <xdr:nvSpPr>
        <xdr:cNvPr id="5" name="Rounded Rectangle 4"/>
        <xdr:cNvSpPr/>
      </xdr:nvSpPr>
      <xdr:spPr>
        <a:xfrm>
          <a:off x="751489" y="2501462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7</xdr:col>
      <xdr:colOff>212834</xdr:colOff>
      <xdr:row>15</xdr:row>
      <xdr:rowOff>141890</xdr:rowOff>
    </xdr:from>
    <xdr:to>
      <xdr:col>9</xdr:col>
      <xdr:colOff>55179</xdr:colOff>
      <xdr:row>16</xdr:row>
      <xdr:rowOff>162911</xdr:rowOff>
    </xdr:to>
    <xdr:sp macro="" textlink="">
      <xdr:nvSpPr>
        <xdr:cNvPr id="6" name="Rounded Rectangle 5"/>
        <xdr:cNvSpPr/>
      </xdr:nvSpPr>
      <xdr:spPr>
        <a:xfrm>
          <a:off x="5400296" y="2867505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9</xdr:col>
      <xdr:colOff>325820</xdr:colOff>
      <xdr:row>15</xdr:row>
      <xdr:rowOff>141890</xdr:rowOff>
    </xdr:from>
    <xdr:to>
      <xdr:col>11</xdr:col>
      <xdr:colOff>168165</xdr:colOff>
      <xdr:row>16</xdr:row>
      <xdr:rowOff>162911</xdr:rowOff>
    </xdr:to>
    <xdr:sp macro="" textlink="">
      <xdr:nvSpPr>
        <xdr:cNvPr id="7" name="Rounded Rectangle 6"/>
        <xdr:cNvSpPr/>
      </xdr:nvSpPr>
      <xdr:spPr>
        <a:xfrm>
          <a:off x="6731875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99849</xdr:colOff>
      <xdr:row>1</xdr:row>
      <xdr:rowOff>78827</xdr:rowOff>
    </xdr:from>
    <xdr:to>
      <xdr:col>4</xdr:col>
      <xdr:colOff>1481959</xdr:colOff>
      <xdr:row>3</xdr:row>
      <xdr:rowOff>89337</xdr:rowOff>
    </xdr:to>
    <xdr:sp macro="" textlink="">
      <xdr:nvSpPr>
        <xdr:cNvPr id="8" name="Rounded Rectangle 7"/>
        <xdr:cNvSpPr/>
      </xdr:nvSpPr>
      <xdr:spPr>
        <a:xfrm>
          <a:off x="2538249" y="262758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5</xdr:col>
      <xdr:colOff>134007</xdr:colOff>
      <xdr:row>1</xdr:row>
      <xdr:rowOff>149774</xdr:rowOff>
    </xdr:from>
    <xdr:to>
      <xdr:col>6</xdr:col>
      <xdr:colOff>585952</xdr:colOff>
      <xdr:row>2</xdr:row>
      <xdr:rowOff>170795</xdr:rowOff>
    </xdr:to>
    <xdr:sp macro="" textlink="">
      <xdr:nvSpPr>
        <xdr:cNvPr id="9" name="Rounded Rectangle 8"/>
        <xdr:cNvSpPr/>
      </xdr:nvSpPr>
      <xdr:spPr>
        <a:xfrm>
          <a:off x="4101662" y="3337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9</xdr:col>
      <xdr:colOff>333703</xdr:colOff>
      <xdr:row>5</xdr:row>
      <xdr:rowOff>149774</xdr:rowOff>
    </xdr:from>
    <xdr:to>
      <xdr:col>11</xdr:col>
      <xdr:colOff>176048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6739758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5</xdr:col>
      <xdr:colOff>102476</xdr:colOff>
      <xdr:row>15</xdr:row>
      <xdr:rowOff>152402</xdr:rowOff>
    </xdr:from>
    <xdr:to>
      <xdr:col>6</xdr:col>
      <xdr:colOff>554421</xdr:colOff>
      <xdr:row>16</xdr:row>
      <xdr:rowOff>173423</xdr:rowOff>
    </xdr:to>
    <xdr:sp macro="" textlink="">
      <xdr:nvSpPr>
        <xdr:cNvPr id="14" name="Rounded Rectangle 13"/>
        <xdr:cNvSpPr/>
      </xdr:nvSpPr>
      <xdr:spPr>
        <a:xfrm>
          <a:off x="4070131" y="25435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7</xdr:col>
      <xdr:colOff>212834</xdr:colOff>
      <xdr:row>5</xdr:row>
      <xdr:rowOff>149774</xdr:rowOff>
    </xdr:from>
    <xdr:to>
      <xdr:col>9</xdr:col>
      <xdr:colOff>55179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5400296" y="1058312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  <xdr:twoCellAnchor>
    <xdr:from>
      <xdr:col>11</xdr:col>
      <xdr:colOff>289035</xdr:colOff>
      <xdr:row>16</xdr:row>
      <xdr:rowOff>73573</xdr:rowOff>
    </xdr:from>
    <xdr:to>
      <xdr:col>12</xdr:col>
      <xdr:colOff>94593</xdr:colOff>
      <xdr:row>16</xdr:row>
      <xdr:rowOff>73573</xdr:rowOff>
    </xdr:to>
    <xdr:cxnSp macro="">
      <xdr:nvCxnSpPr>
        <xdr:cNvPr id="17" name="Straight Arrow Connector 16"/>
        <xdr:cNvCxnSpPr/>
      </xdr:nvCxnSpPr>
      <xdr:spPr>
        <a:xfrm>
          <a:off x="7914290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204952</xdr:colOff>
      <xdr:row>16</xdr:row>
      <xdr:rowOff>73573</xdr:rowOff>
    </xdr:from>
    <xdr:to>
      <xdr:col>1</xdr:col>
      <xdr:colOff>10510</xdr:colOff>
      <xdr:row>16</xdr:row>
      <xdr:rowOff>73573</xdr:rowOff>
    </xdr:to>
    <xdr:cxnSp macro="">
      <xdr:nvCxnSpPr>
        <xdr:cNvPr id="18" name="Straight Arrow Connector 17"/>
        <xdr:cNvCxnSpPr/>
      </xdr:nvCxnSpPr>
      <xdr:spPr>
        <a:xfrm>
          <a:off x="204952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750278</xdr:colOff>
      <xdr:row>9</xdr:row>
      <xdr:rowOff>5862</xdr:rowOff>
    </xdr:from>
    <xdr:to>
      <xdr:col>4</xdr:col>
      <xdr:colOff>759242</xdr:colOff>
      <xdr:row>13</xdr:row>
      <xdr:rowOff>130328</xdr:rowOff>
    </xdr:to>
    <xdr:cxnSp macro="">
      <xdr:nvCxnSpPr>
        <xdr:cNvPr id="21" name="Straight Arrow Connector 20"/>
        <xdr:cNvCxnSpPr>
          <a:stCxn id="2" idx="0"/>
        </xdr:cNvCxnSpPr>
      </xdr:nvCxnSpPr>
      <xdr:spPr>
        <a:xfrm rot="16200000" flipV="1">
          <a:off x="2767511" y="2062398"/>
          <a:ext cx="851297" cy="89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599089</xdr:colOff>
      <xdr:row>10</xdr:row>
      <xdr:rowOff>69330</xdr:rowOff>
    </xdr:from>
    <xdr:to>
      <xdr:col>9</xdr:col>
      <xdr:colOff>278524</xdr:colOff>
      <xdr:row>12</xdr:row>
      <xdr:rowOff>27287</xdr:rowOff>
    </xdr:to>
    <xdr:sp macro="" textlink="">
      <xdr:nvSpPr>
        <xdr:cNvPr id="19" name="Rounded Rectangle 18"/>
        <xdr:cNvSpPr/>
      </xdr:nvSpPr>
      <xdr:spPr>
        <a:xfrm>
          <a:off x="5176951" y="1886407"/>
          <a:ext cx="1508235" cy="321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Вселена</a:t>
          </a:r>
        </a:p>
      </xdr:txBody>
    </xdr:sp>
    <xdr:clientData/>
  </xdr:twoCellAnchor>
  <xdr:twoCellAnchor>
    <xdr:from>
      <xdr:col>6</xdr:col>
      <xdr:colOff>433753</xdr:colOff>
      <xdr:row>12</xdr:row>
      <xdr:rowOff>93785</xdr:rowOff>
    </xdr:from>
    <xdr:to>
      <xdr:col>8</xdr:col>
      <xdr:colOff>41030</xdr:colOff>
      <xdr:row>15</xdr:row>
      <xdr:rowOff>82062</xdr:rowOff>
    </xdr:to>
    <xdr:cxnSp macro="">
      <xdr:nvCxnSpPr>
        <xdr:cNvPr id="29" name="Straight Arrow Connector 28"/>
        <xdr:cNvCxnSpPr/>
      </xdr:nvCxnSpPr>
      <xdr:spPr>
        <a:xfrm flipV="1">
          <a:off x="5011615" y="2274277"/>
          <a:ext cx="826477" cy="533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141889</xdr:colOff>
      <xdr:row>21</xdr:row>
      <xdr:rowOff>22435</xdr:rowOff>
    </xdr:from>
    <xdr:to>
      <xdr:col>3</xdr:col>
      <xdr:colOff>430924</xdr:colOff>
      <xdr:row>22</xdr:row>
      <xdr:rowOff>162102</xdr:rowOff>
    </xdr:to>
    <xdr:sp macro="" textlink="">
      <xdr:nvSpPr>
        <xdr:cNvPr id="22" name="Rounded Rectangle 21"/>
        <xdr:cNvSpPr/>
      </xdr:nvSpPr>
      <xdr:spPr>
        <a:xfrm>
          <a:off x="751489" y="3838297"/>
          <a:ext cx="1508235" cy="32137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Огледало/ Реалност</a:t>
          </a:r>
        </a:p>
      </xdr:txBody>
    </xdr:sp>
    <xdr:clientData/>
  </xdr:twoCellAnchor>
  <xdr:twoCellAnchor>
    <xdr:from>
      <xdr:col>2</xdr:col>
      <xdr:colOff>274699</xdr:colOff>
      <xdr:row>17</xdr:row>
      <xdr:rowOff>94578</xdr:rowOff>
    </xdr:from>
    <xdr:to>
      <xdr:col>2</xdr:col>
      <xdr:colOff>276287</xdr:colOff>
      <xdr:row>20</xdr:row>
      <xdr:rowOff>141470</xdr:rowOff>
    </xdr:to>
    <xdr:cxnSp macro="">
      <xdr:nvCxnSpPr>
        <xdr:cNvPr id="25" name="Straight Arrow Connector 24"/>
        <xdr:cNvCxnSpPr/>
      </xdr:nvCxnSpPr>
      <xdr:spPr>
        <a:xfrm rot="5400000">
          <a:off x="1198685" y="3478823"/>
          <a:ext cx="59201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293496</xdr:colOff>
      <xdr:row>9</xdr:row>
      <xdr:rowOff>48091</xdr:rowOff>
    </xdr:from>
    <xdr:to>
      <xdr:col>3</xdr:col>
      <xdr:colOff>295084</xdr:colOff>
      <xdr:row>10</xdr:row>
      <xdr:rowOff>168959</xdr:rowOff>
    </xdr:to>
    <xdr:cxnSp macro="">
      <xdr:nvCxnSpPr>
        <xdr:cNvPr id="3" name="Straight Arrow Connector 2"/>
        <xdr:cNvCxnSpPr/>
      </xdr:nvCxnSpPr>
      <xdr:spPr>
        <a:xfrm rot="5400000">
          <a:off x="1970690" y="2774731"/>
          <a:ext cx="3048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293496</xdr:colOff>
      <xdr:row>24</xdr:row>
      <xdr:rowOff>48091</xdr:rowOff>
    </xdr:from>
    <xdr:to>
      <xdr:col>3</xdr:col>
      <xdr:colOff>295084</xdr:colOff>
      <xdr:row>25</xdr:row>
      <xdr:rowOff>168959</xdr:rowOff>
    </xdr:to>
    <xdr:cxnSp macro="">
      <xdr:nvCxnSpPr>
        <xdr:cNvPr id="4" name="Straight Arrow Connector 3"/>
        <xdr:cNvCxnSpPr/>
      </xdr:nvCxnSpPr>
      <xdr:spPr>
        <a:xfrm rot="5400000">
          <a:off x="1970690" y="2774731"/>
          <a:ext cx="3048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topLeftCell="A418" zoomScale="145" zoomScaleNormal="145" workbookViewId="0"/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524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521</v>
      </c>
      <c r="J12" s="24" t="s">
        <v>522</v>
      </c>
      <c r="K12" s="24" t="s">
        <v>523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592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622</v>
      </c>
      <c r="D19" s="7"/>
      <c r="E19" s="8" t="s">
        <v>341</v>
      </c>
      <c r="G19" s="3"/>
      <c r="H19" s="7"/>
      <c r="I19" s="8"/>
    </row>
    <row r="20" spans="1:15">
      <c r="C20" s="3" t="s">
        <v>623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505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502</v>
      </c>
    </row>
    <row r="22" spans="1:15">
      <c r="C22" s="3"/>
      <c r="E22" s="8"/>
      <c r="G22" s="3"/>
      <c r="H22" s="7"/>
      <c r="I22" s="8"/>
      <c r="K22" s="29" t="s">
        <v>503</v>
      </c>
    </row>
    <row r="23" spans="1:15">
      <c r="C23" s="3"/>
      <c r="E23" s="8"/>
      <c r="G23" s="3"/>
      <c r="H23" s="7"/>
      <c r="I23" s="8" t="s">
        <v>239</v>
      </c>
      <c r="K23" t="s">
        <v>504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520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798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525</v>
      </c>
    </row>
    <row r="40" spans="2:15">
      <c r="D40" t="s">
        <v>204</v>
      </c>
      <c r="H40" t="s">
        <v>526</v>
      </c>
    </row>
    <row r="41" spans="2:15">
      <c r="D41" t="s">
        <v>205</v>
      </c>
      <c r="H41" t="s">
        <v>530</v>
      </c>
    </row>
    <row r="42" spans="2:15">
      <c r="D42" t="s">
        <v>207</v>
      </c>
      <c r="H42" t="s">
        <v>531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799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658</v>
      </c>
    </row>
    <row r="552" spans="1:6">
      <c r="B552" t="s">
        <v>659</v>
      </c>
    </row>
    <row r="553" spans="1:6">
      <c r="B553" t="s">
        <v>660</v>
      </c>
    </row>
    <row r="555" spans="1:6">
      <c r="B555" s="16" t="s">
        <v>661</v>
      </c>
    </row>
    <row r="556" spans="1:6">
      <c r="C556" t="s">
        <v>662</v>
      </c>
    </row>
    <row r="557" spans="1:6">
      <c r="C557" t="s">
        <v>663</v>
      </c>
    </row>
    <row r="558" spans="1:6">
      <c r="C558" t="s">
        <v>664</v>
      </c>
    </row>
    <row r="560" spans="1:6">
      <c r="B560" t="s">
        <v>665</v>
      </c>
    </row>
    <row r="562" spans="2:3">
      <c r="B562" t="s">
        <v>666</v>
      </c>
    </row>
    <row r="564" spans="2:3">
      <c r="B564" t="s">
        <v>661</v>
      </c>
    </row>
    <row r="565" spans="2:3">
      <c r="C565" t="s">
        <v>667</v>
      </c>
    </row>
    <row r="566" spans="2:3">
      <c r="C566" t="s">
        <v>668</v>
      </c>
    </row>
    <row r="567" spans="2:3">
      <c r="C567" t="s">
        <v>669</v>
      </c>
    </row>
    <row r="569" spans="2:3">
      <c r="B569" t="s">
        <v>670</v>
      </c>
    </row>
    <row r="571" spans="2:3">
      <c r="B571" s="16" t="s">
        <v>671</v>
      </c>
    </row>
    <row r="572" spans="2:3">
      <c r="C572" s="58" t="s">
        <v>672</v>
      </c>
    </row>
    <row r="573" spans="2:3">
      <c r="C573" s="58" t="s">
        <v>673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289"/>
  <sheetViews>
    <sheetView topLeftCell="A34" zoomScale="145" zoomScaleNormal="145" workbookViewId="0">
      <selection activeCell="C39" sqref="C39"/>
    </sheetView>
  </sheetViews>
  <sheetFormatPr defaultRowHeight="14.4"/>
  <cols>
    <col min="4" max="4" width="9.5546875" customWidth="1"/>
  </cols>
  <sheetData>
    <row r="2" spans="1:9">
      <c r="A2" s="16" t="s">
        <v>595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1265</v>
      </c>
    </row>
    <row r="26" spans="1:12">
      <c r="A26" s="16" t="s">
        <v>529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511</v>
      </c>
      <c r="G29" s="6"/>
      <c r="H29" s="48" t="s">
        <v>519</v>
      </c>
      <c r="I29" s="3"/>
      <c r="J29" s="8"/>
      <c r="K29" s="3"/>
      <c r="L29" s="8"/>
    </row>
    <row r="30" spans="1:12">
      <c r="B30" s="42" t="s">
        <v>506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507</v>
      </c>
      <c r="C31" s="7"/>
      <c r="D31" s="8"/>
      <c r="E31" s="7" t="s">
        <v>512</v>
      </c>
      <c r="F31" s="7" t="s">
        <v>514</v>
      </c>
      <c r="G31" s="8"/>
      <c r="H31" s="3" t="s">
        <v>527</v>
      </c>
      <c r="I31" s="3" t="s">
        <v>528</v>
      </c>
      <c r="J31" s="8"/>
      <c r="K31" s="3"/>
      <c r="L31" s="8"/>
    </row>
    <row r="32" spans="1:12">
      <c r="B32" s="3" t="s">
        <v>508</v>
      </c>
      <c r="C32" s="7"/>
      <c r="D32" s="8"/>
      <c r="E32" s="7" t="s">
        <v>515</v>
      </c>
      <c r="F32" s="7" t="s">
        <v>516</v>
      </c>
      <c r="G32" s="8"/>
      <c r="H32" s="3" t="s">
        <v>527</v>
      </c>
      <c r="I32" s="3"/>
      <c r="J32" s="8"/>
      <c r="K32" s="3"/>
      <c r="L32" s="8"/>
    </row>
    <row r="33" spans="1:12">
      <c r="B33" s="3" t="s">
        <v>532</v>
      </c>
      <c r="C33" s="7"/>
      <c r="D33" s="8"/>
      <c r="E33" s="7" t="s">
        <v>260</v>
      </c>
      <c r="F33" s="7"/>
      <c r="G33" s="8"/>
      <c r="H33" s="3" t="s">
        <v>527</v>
      </c>
      <c r="I33" s="3"/>
      <c r="J33" s="8"/>
      <c r="K33" s="3"/>
      <c r="L33" s="8"/>
    </row>
    <row r="34" spans="1:12">
      <c r="B34" s="3" t="s">
        <v>509</v>
      </c>
      <c r="C34" s="7"/>
      <c r="D34" s="8"/>
      <c r="E34" s="7" t="s">
        <v>513</v>
      </c>
      <c r="F34" s="7" t="s">
        <v>517</v>
      </c>
      <c r="G34" s="8"/>
      <c r="H34" s="3" t="s">
        <v>527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503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510</v>
      </c>
      <c r="D38" s="8"/>
      <c r="E38" s="7" t="s">
        <v>518</v>
      </c>
      <c r="F38" s="7"/>
      <c r="G38" s="8"/>
      <c r="H38" s="3" t="s">
        <v>527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504</v>
      </c>
      <c r="C40" s="7"/>
      <c r="D40" s="8"/>
      <c r="E40" s="7"/>
      <c r="F40" s="7"/>
      <c r="G40" s="8"/>
      <c r="H40" s="3" t="s">
        <v>527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533</v>
      </c>
    </row>
    <row r="46" spans="1:12">
      <c r="B46" s="7" t="s">
        <v>536</v>
      </c>
      <c r="D46" s="7" t="s">
        <v>535</v>
      </c>
      <c r="G46" s="7" t="s">
        <v>534</v>
      </c>
    </row>
    <row r="47" spans="1:12">
      <c r="D47" s="7"/>
      <c r="G47" s="7"/>
    </row>
    <row r="48" spans="1:12">
      <c r="D48" s="7" t="s">
        <v>794</v>
      </c>
      <c r="G48" s="7" t="s">
        <v>593</v>
      </c>
    </row>
    <row r="49" spans="1:12">
      <c r="D49" s="7"/>
      <c r="G49" s="7"/>
    </row>
    <row r="50" spans="1:12">
      <c r="D50" s="7" t="s">
        <v>795</v>
      </c>
      <c r="G50" s="7" t="s">
        <v>593</v>
      </c>
    </row>
    <row r="51" spans="1:12">
      <c r="D51" s="7"/>
      <c r="G51" s="7"/>
    </row>
    <row r="52" spans="1:12">
      <c r="D52" s="7" t="s">
        <v>796</v>
      </c>
      <c r="G52" s="7" t="s">
        <v>593</v>
      </c>
    </row>
    <row r="54" spans="1:12">
      <c r="A54" s="16" t="s">
        <v>596</v>
      </c>
    </row>
    <row r="55" spans="1:12">
      <c r="A55" s="16"/>
    </row>
    <row r="56" spans="1:12">
      <c r="C56" s="16" t="s">
        <v>1272</v>
      </c>
      <c r="H56" s="16" t="s">
        <v>598</v>
      </c>
      <c r="L56" s="16" t="s">
        <v>739</v>
      </c>
    </row>
    <row r="57" spans="1:12">
      <c r="B57">
        <v>1</v>
      </c>
      <c r="C57" t="s">
        <v>597</v>
      </c>
      <c r="H57" t="s">
        <v>608</v>
      </c>
      <c r="L57" t="s">
        <v>745</v>
      </c>
    </row>
    <row r="58" spans="1:12">
      <c r="B58">
        <v>2</v>
      </c>
      <c r="C58" t="s">
        <v>1273</v>
      </c>
      <c r="H58" t="s">
        <v>599</v>
      </c>
      <c r="L58" t="s">
        <v>744</v>
      </c>
    </row>
    <row r="59" spans="1:12">
      <c r="B59">
        <v>3</v>
      </c>
      <c r="C59" s="69" t="s">
        <v>602</v>
      </c>
      <c r="H59" t="s">
        <v>843</v>
      </c>
      <c r="L59" t="s">
        <v>742</v>
      </c>
    </row>
    <row r="60" spans="1:12">
      <c r="B60">
        <v>4</v>
      </c>
      <c r="C60" t="s">
        <v>600</v>
      </c>
      <c r="H60" t="s">
        <v>601</v>
      </c>
      <c r="L60" t="s">
        <v>743</v>
      </c>
    </row>
    <row r="61" spans="1:12">
      <c r="B61">
        <v>5</v>
      </c>
      <c r="C61" t="s">
        <v>842</v>
      </c>
      <c r="H61" t="s">
        <v>843</v>
      </c>
      <c r="L61" t="s">
        <v>742</v>
      </c>
    </row>
    <row r="62" spans="1:12">
      <c r="B62">
        <v>6</v>
      </c>
      <c r="C62" s="16" t="s">
        <v>653</v>
      </c>
      <c r="H62" t="s">
        <v>846</v>
      </c>
    </row>
    <row r="63" spans="1:12">
      <c r="B63">
        <v>7</v>
      </c>
      <c r="C63" t="s">
        <v>737</v>
      </c>
      <c r="H63" t="s">
        <v>738</v>
      </c>
      <c r="L63" t="s">
        <v>741</v>
      </c>
    </row>
    <row r="64" spans="1:12">
      <c r="B64">
        <v>8</v>
      </c>
      <c r="C64" t="s">
        <v>746</v>
      </c>
      <c r="H64" t="s">
        <v>747</v>
      </c>
      <c r="L64" t="s">
        <v>797</v>
      </c>
    </row>
    <row r="65" spans="2:13">
      <c r="B65">
        <v>9</v>
      </c>
      <c r="C65" t="s">
        <v>740</v>
      </c>
      <c r="H65" t="s">
        <v>831</v>
      </c>
      <c r="L65" s="63" t="s">
        <v>812</v>
      </c>
    </row>
    <row r="66" spans="2:13">
      <c r="B66">
        <v>10</v>
      </c>
      <c r="C66" t="s">
        <v>844</v>
      </c>
      <c r="H66" t="s">
        <v>845</v>
      </c>
      <c r="L66" s="63" t="s">
        <v>821</v>
      </c>
    </row>
    <row r="67" spans="2:13">
      <c r="B67">
        <v>11</v>
      </c>
      <c r="C67" t="s">
        <v>822</v>
      </c>
      <c r="H67" t="s">
        <v>824</v>
      </c>
      <c r="L67" t="s">
        <v>823</v>
      </c>
    </row>
    <row r="68" spans="2:13">
      <c r="B68" s="69">
        <v>12</v>
      </c>
      <c r="C68" t="s">
        <v>826</v>
      </c>
      <c r="H68" t="s">
        <v>847</v>
      </c>
      <c r="L68" t="s">
        <v>827</v>
      </c>
      <c r="M68" s="63"/>
    </row>
    <row r="69" spans="2:13">
      <c r="B69">
        <v>13</v>
      </c>
      <c r="C69" t="s">
        <v>828</v>
      </c>
      <c r="H69" t="s">
        <v>848</v>
      </c>
      <c r="L69" t="s">
        <v>1274</v>
      </c>
      <c r="M69" s="63"/>
    </row>
    <row r="70" spans="2:13">
      <c r="B70">
        <v>14</v>
      </c>
      <c r="C70" t="s">
        <v>829</v>
      </c>
      <c r="L70" t="s">
        <v>830</v>
      </c>
      <c r="M70" s="63"/>
    </row>
    <row r="71" spans="2:13">
      <c r="B71">
        <v>15</v>
      </c>
      <c r="C71" t="s">
        <v>832</v>
      </c>
      <c r="H71" t="s">
        <v>840</v>
      </c>
      <c r="L71" t="s">
        <v>838</v>
      </c>
      <c r="M71" s="63"/>
    </row>
    <row r="72" spans="2:13">
      <c r="B72">
        <v>16</v>
      </c>
      <c r="C72" t="s">
        <v>839</v>
      </c>
      <c r="H72" t="s">
        <v>840</v>
      </c>
      <c r="L72" t="s">
        <v>841</v>
      </c>
      <c r="M72" s="63"/>
    </row>
    <row r="73" spans="2:13">
      <c r="B73">
        <v>17</v>
      </c>
      <c r="C73" s="16" t="s">
        <v>849</v>
      </c>
      <c r="L73" t="s">
        <v>850</v>
      </c>
      <c r="M73" s="63"/>
    </row>
    <row r="74" spans="2:13">
      <c r="B74">
        <v>18</v>
      </c>
      <c r="C74" s="16" t="s">
        <v>851</v>
      </c>
      <c r="L74" t="s">
        <v>850</v>
      </c>
      <c r="M74" s="63"/>
    </row>
    <row r="75" spans="2:13">
      <c r="B75">
        <v>19</v>
      </c>
      <c r="M75" s="63"/>
    </row>
    <row r="76" spans="2:13">
      <c r="M76" s="63"/>
    </row>
    <row r="78" spans="2:13">
      <c r="C78" s="27" t="s">
        <v>625</v>
      </c>
      <c r="I78" s="27" t="s">
        <v>631</v>
      </c>
    </row>
    <row r="79" spans="2:13">
      <c r="B79">
        <v>1</v>
      </c>
      <c r="C79" t="s">
        <v>626</v>
      </c>
      <c r="H79">
        <v>1</v>
      </c>
      <c r="I79" t="s">
        <v>636</v>
      </c>
    </row>
    <row r="80" spans="2:13">
      <c r="B80">
        <v>2</v>
      </c>
      <c r="C80" s="57" t="s">
        <v>630</v>
      </c>
      <c r="H80">
        <v>2</v>
      </c>
      <c r="I80" t="s">
        <v>637</v>
      </c>
    </row>
    <row r="81" spans="1:9">
      <c r="B81">
        <v>3</v>
      </c>
      <c r="C81" t="s">
        <v>627</v>
      </c>
      <c r="H81">
        <v>3</v>
      </c>
      <c r="I81" t="s">
        <v>632</v>
      </c>
    </row>
    <row r="82" spans="1:9">
      <c r="B82">
        <v>4</v>
      </c>
      <c r="C82" t="s">
        <v>628</v>
      </c>
      <c r="H82">
        <v>4</v>
      </c>
      <c r="I82" t="s">
        <v>633</v>
      </c>
    </row>
    <row r="83" spans="1:9">
      <c r="B83">
        <v>5</v>
      </c>
      <c r="C83" t="s">
        <v>629</v>
      </c>
      <c r="H83">
        <v>5</v>
      </c>
      <c r="I83" t="s">
        <v>651</v>
      </c>
    </row>
    <row r="84" spans="1:9">
      <c r="B84">
        <v>6</v>
      </c>
      <c r="C84" t="s">
        <v>635</v>
      </c>
      <c r="H84">
        <v>6</v>
      </c>
      <c r="I84" t="s">
        <v>634</v>
      </c>
    </row>
    <row r="87" spans="1:9">
      <c r="A87" s="16" t="s">
        <v>609</v>
      </c>
    </row>
    <row r="89" spans="1:9">
      <c r="B89">
        <v>1</v>
      </c>
      <c r="C89" t="s">
        <v>610</v>
      </c>
      <c r="E89" t="s">
        <v>611</v>
      </c>
    </row>
    <row r="90" spans="1:9">
      <c r="B90">
        <v>2</v>
      </c>
      <c r="C90" t="s">
        <v>612</v>
      </c>
      <c r="E90" t="s">
        <v>615</v>
      </c>
    </row>
    <row r="91" spans="1:9">
      <c r="B91">
        <v>3</v>
      </c>
      <c r="C91" t="s">
        <v>613</v>
      </c>
      <c r="E91" t="s">
        <v>619</v>
      </c>
    </row>
    <row r="92" spans="1:9">
      <c r="B92">
        <v>4</v>
      </c>
      <c r="C92" t="s">
        <v>614</v>
      </c>
      <c r="E92" t="s">
        <v>620</v>
      </c>
    </row>
    <row r="93" spans="1:9">
      <c r="B93">
        <v>5</v>
      </c>
      <c r="C93" t="s">
        <v>616</v>
      </c>
      <c r="E93" t="s">
        <v>621</v>
      </c>
    </row>
    <row r="94" spans="1:9">
      <c r="B94">
        <v>6</v>
      </c>
      <c r="C94" t="s">
        <v>617</v>
      </c>
      <c r="E94" t="s">
        <v>618</v>
      </c>
    </row>
    <row r="97" spans="1:4">
      <c r="A97" s="16" t="s">
        <v>624</v>
      </c>
    </row>
    <row r="99" spans="1:4">
      <c r="B99">
        <v>1</v>
      </c>
      <c r="C99" t="s">
        <v>606</v>
      </c>
      <c r="D99" t="s">
        <v>607</v>
      </c>
    </row>
    <row r="100" spans="1:4">
      <c r="B100">
        <v>2</v>
      </c>
      <c r="C100" t="s">
        <v>612</v>
      </c>
      <c r="D100" t="s">
        <v>607</v>
      </c>
    </row>
    <row r="103" spans="1:4">
      <c r="A103" s="16" t="s">
        <v>638</v>
      </c>
    </row>
    <row r="105" spans="1:4">
      <c r="B105">
        <v>1</v>
      </c>
      <c r="C105" t="s">
        <v>639</v>
      </c>
    </row>
    <row r="106" spans="1:4">
      <c r="B106">
        <v>2</v>
      </c>
      <c r="C106" t="s">
        <v>640</v>
      </c>
    </row>
    <row r="107" spans="1:4">
      <c r="B107">
        <v>3</v>
      </c>
      <c r="C107" t="s">
        <v>643</v>
      </c>
    </row>
    <row r="108" spans="1:4">
      <c r="B108">
        <v>4</v>
      </c>
      <c r="C108" t="s">
        <v>641</v>
      </c>
    </row>
    <row r="109" spans="1:4">
      <c r="B109">
        <v>5</v>
      </c>
      <c r="C109" t="s">
        <v>642</v>
      </c>
    </row>
    <row r="110" spans="1:4">
      <c r="B110">
        <v>6</v>
      </c>
      <c r="C110" t="s">
        <v>652</v>
      </c>
    </row>
    <row r="111" spans="1:4">
      <c r="B111">
        <v>7</v>
      </c>
      <c r="C111" t="s">
        <v>674</v>
      </c>
    </row>
    <row r="112" spans="1:4">
      <c r="B112">
        <v>8</v>
      </c>
      <c r="C112" t="s">
        <v>731</v>
      </c>
    </row>
    <row r="113" spans="1:3">
      <c r="B113">
        <v>9</v>
      </c>
      <c r="C113" t="s">
        <v>734</v>
      </c>
    </row>
    <row r="114" spans="1:3">
      <c r="B114">
        <v>10</v>
      </c>
      <c r="C114" t="s">
        <v>811</v>
      </c>
    </row>
    <row r="115" spans="1:3">
      <c r="B115">
        <v>11</v>
      </c>
      <c r="C115" t="s">
        <v>825</v>
      </c>
    </row>
    <row r="118" spans="1:3">
      <c r="A118" s="16" t="s">
        <v>273</v>
      </c>
    </row>
    <row r="119" spans="1:3">
      <c r="A119" s="16"/>
      <c r="B119" t="s">
        <v>648</v>
      </c>
    </row>
    <row r="121" spans="1:3">
      <c r="B121">
        <v>1</v>
      </c>
      <c r="C121" s="16" t="s">
        <v>1499</v>
      </c>
    </row>
    <row r="123" spans="1:3">
      <c r="B123">
        <v>2</v>
      </c>
      <c r="C123" s="16" t="s">
        <v>637</v>
      </c>
    </row>
    <row r="125" spans="1:3">
      <c r="B125">
        <v>3</v>
      </c>
      <c r="C125" s="16" t="s">
        <v>632</v>
      </c>
    </row>
    <row r="126" spans="1:3">
      <c r="C126" t="s">
        <v>650</v>
      </c>
    </row>
    <row r="127" spans="1:3">
      <c r="C127" t="s">
        <v>647</v>
      </c>
    </row>
    <row r="129" spans="2:3">
      <c r="B129">
        <v>4</v>
      </c>
      <c r="C129" s="16" t="s">
        <v>633</v>
      </c>
    </row>
    <row r="130" spans="2:3">
      <c r="C130" t="s">
        <v>644</v>
      </c>
    </row>
    <row r="131" spans="2:3">
      <c r="C131" t="s">
        <v>645</v>
      </c>
    </row>
    <row r="132" spans="2:3">
      <c r="C132" t="s">
        <v>646</v>
      </c>
    </row>
    <row r="133" spans="2:3">
      <c r="C133" t="s">
        <v>736</v>
      </c>
    </row>
    <row r="134" spans="2:3">
      <c r="C134" t="s">
        <v>647</v>
      </c>
    </row>
    <row r="136" spans="2:3">
      <c r="B136">
        <v>5</v>
      </c>
      <c r="C136" s="16" t="s">
        <v>651</v>
      </c>
    </row>
    <row r="137" spans="2:3">
      <c r="C137" s="61" t="s">
        <v>735</v>
      </c>
    </row>
    <row r="139" spans="2:3">
      <c r="B139">
        <v>6</v>
      </c>
      <c r="C139" s="16" t="s">
        <v>649</v>
      </c>
    </row>
    <row r="140" spans="2:3">
      <c r="C140" t="s">
        <v>1504</v>
      </c>
    </row>
    <row r="141" spans="2:3">
      <c r="C141" t="s">
        <v>1503</v>
      </c>
    </row>
    <row r="142" spans="2:3">
      <c r="C142" t="s">
        <v>1505</v>
      </c>
    </row>
    <row r="143" spans="2:3">
      <c r="C143" t="s">
        <v>1506</v>
      </c>
    </row>
    <row r="144" spans="2:3">
      <c r="C144" s="61"/>
    </row>
    <row r="146" spans="1:3">
      <c r="A146" s="16" t="s">
        <v>654</v>
      </c>
    </row>
    <row r="147" spans="1:3">
      <c r="B147">
        <v>1</v>
      </c>
      <c r="C147" t="s">
        <v>655</v>
      </c>
    </row>
    <row r="148" spans="1:3">
      <c r="B148">
        <v>2</v>
      </c>
      <c r="C148" t="s">
        <v>656</v>
      </c>
    </row>
    <row r="149" spans="1:3">
      <c r="B149">
        <v>3</v>
      </c>
      <c r="C149" t="s">
        <v>657</v>
      </c>
    </row>
    <row r="153" spans="1:3">
      <c r="A153" s="16" t="s">
        <v>1500</v>
      </c>
    </row>
    <row r="154" spans="1:3">
      <c r="B154" t="s">
        <v>1501</v>
      </c>
    </row>
    <row r="155" spans="1:3">
      <c r="C155" t="s">
        <v>1502</v>
      </c>
    </row>
    <row r="160" spans="1:3">
      <c r="A160" s="16" t="s">
        <v>702</v>
      </c>
    </row>
    <row r="161" spans="2:6">
      <c r="B161" s="16" t="s">
        <v>704</v>
      </c>
      <c r="F161" s="16" t="s">
        <v>705</v>
      </c>
    </row>
    <row r="162" spans="2:6">
      <c r="B162" t="s">
        <v>703</v>
      </c>
      <c r="F162" t="s">
        <v>792</v>
      </c>
    </row>
    <row r="163" spans="2:6">
      <c r="B163" t="s">
        <v>722</v>
      </c>
      <c r="F163" t="s">
        <v>706</v>
      </c>
    </row>
    <row r="164" spans="2:6">
      <c r="B164" t="s">
        <v>723</v>
      </c>
      <c r="F164" t="s">
        <v>724</v>
      </c>
    </row>
    <row r="165" spans="2:6">
      <c r="B165" t="s">
        <v>725</v>
      </c>
      <c r="F165" t="s">
        <v>726</v>
      </c>
    </row>
    <row r="166" spans="2:6">
      <c r="B166" t="s">
        <v>727</v>
      </c>
      <c r="F166" t="s">
        <v>728</v>
      </c>
    </row>
    <row r="167" spans="2:6">
      <c r="B167" t="s">
        <v>729</v>
      </c>
      <c r="F167" t="s">
        <v>730</v>
      </c>
    </row>
    <row r="169" spans="2:6">
      <c r="B169" s="16" t="s">
        <v>707</v>
      </c>
      <c r="F169" s="16" t="s">
        <v>705</v>
      </c>
    </row>
    <row r="170" spans="2:6">
      <c r="B170" t="s">
        <v>708</v>
      </c>
      <c r="F170" t="s">
        <v>715</v>
      </c>
    </row>
    <row r="171" spans="2:6">
      <c r="B171" t="s">
        <v>709</v>
      </c>
      <c r="F171" t="s">
        <v>716</v>
      </c>
    </row>
    <row r="172" spans="2:6">
      <c r="B172" t="s">
        <v>710</v>
      </c>
      <c r="F172" t="s">
        <v>717</v>
      </c>
    </row>
    <row r="173" spans="2:6">
      <c r="B173" t="s">
        <v>711</v>
      </c>
      <c r="F173" t="s">
        <v>718</v>
      </c>
    </row>
    <row r="174" spans="2:6">
      <c r="B174" t="s">
        <v>793</v>
      </c>
      <c r="F174" t="s">
        <v>718</v>
      </c>
    </row>
    <row r="175" spans="2:6">
      <c r="B175" t="s">
        <v>712</v>
      </c>
      <c r="F175" t="s">
        <v>721</v>
      </c>
    </row>
    <row r="176" spans="2:6">
      <c r="B176" t="s">
        <v>713</v>
      </c>
      <c r="F176" t="s">
        <v>719</v>
      </c>
    </row>
    <row r="177" spans="1:12">
      <c r="B177" t="s">
        <v>714</v>
      </c>
      <c r="F177" t="s">
        <v>720</v>
      </c>
    </row>
    <row r="178" spans="1:12">
      <c r="B178" t="s">
        <v>809</v>
      </c>
      <c r="F178" t="s">
        <v>810</v>
      </c>
    </row>
    <row r="181" spans="1:12">
      <c r="A181" s="16" t="s">
        <v>800</v>
      </c>
    </row>
    <row r="183" spans="1:12">
      <c r="B183" s="67" t="s">
        <v>801</v>
      </c>
      <c r="C183" s="35"/>
      <c r="D183" s="35"/>
      <c r="E183" s="34"/>
      <c r="F183" s="68" t="s">
        <v>802</v>
      </c>
      <c r="G183" s="35"/>
      <c r="H183" s="34"/>
      <c r="I183" s="65" t="s">
        <v>808</v>
      </c>
      <c r="J183" s="35"/>
      <c r="K183" s="35"/>
      <c r="L183" s="34"/>
    </row>
    <row r="184" spans="1:12">
      <c r="B184" s="67" t="s">
        <v>806</v>
      </c>
      <c r="C184" s="35"/>
      <c r="D184" s="35"/>
      <c r="E184" s="34"/>
      <c r="F184" s="35" t="s">
        <v>820</v>
      </c>
      <c r="G184" s="35"/>
      <c r="H184" s="34"/>
      <c r="I184" s="39"/>
      <c r="J184" s="35"/>
      <c r="K184" s="35"/>
      <c r="L184" s="34"/>
    </row>
    <row r="185" spans="1:12">
      <c r="B185" s="67" t="s">
        <v>804</v>
      </c>
      <c r="C185" s="35"/>
      <c r="D185" s="35"/>
      <c r="E185" s="34"/>
      <c r="F185" s="35" t="s">
        <v>819</v>
      </c>
      <c r="G185" s="35"/>
      <c r="H185" s="34"/>
      <c r="I185" s="67" t="s">
        <v>805</v>
      </c>
      <c r="J185" s="35"/>
      <c r="K185" s="35"/>
      <c r="L185" s="34"/>
    </row>
    <row r="186" spans="1:12">
      <c r="B186" s="67" t="s">
        <v>803</v>
      </c>
      <c r="C186" s="35"/>
      <c r="D186" s="35"/>
      <c r="E186" s="34"/>
      <c r="F186" s="35">
        <v>2</v>
      </c>
      <c r="G186" s="35"/>
      <c r="H186" s="34"/>
      <c r="I186" s="39" t="s">
        <v>807</v>
      </c>
      <c r="J186" s="35"/>
      <c r="K186" s="35"/>
      <c r="L186" s="34"/>
    </row>
    <row r="187" spans="1:12">
      <c r="B187" s="66"/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spans="1:12">
      <c r="B188" s="16"/>
    </row>
    <row r="189" spans="1:12">
      <c r="A189" s="16" t="s">
        <v>813</v>
      </c>
    </row>
    <row r="191" spans="1:12">
      <c r="B191">
        <v>1</v>
      </c>
      <c r="C191" t="s">
        <v>814</v>
      </c>
    </row>
    <row r="192" spans="1:12">
      <c r="B192">
        <v>2</v>
      </c>
      <c r="C192" t="s">
        <v>815</v>
      </c>
    </row>
    <row r="193" spans="1:3">
      <c r="B193">
        <v>3</v>
      </c>
      <c r="C193" t="s">
        <v>816</v>
      </c>
    </row>
    <row r="194" spans="1:3">
      <c r="B194">
        <v>4</v>
      </c>
      <c r="C194" t="s">
        <v>817</v>
      </c>
    </row>
    <row r="195" spans="1:3">
      <c r="B195">
        <v>5</v>
      </c>
      <c r="C195" t="s">
        <v>818</v>
      </c>
    </row>
    <row r="198" spans="1:3">
      <c r="A198" s="16" t="s">
        <v>833</v>
      </c>
      <c r="B198" s="16"/>
    </row>
    <row r="200" spans="1:3">
      <c r="B200">
        <v>1</v>
      </c>
      <c r="C200" t="s">
        <v>834</v>
      </c>
    </row>
    <row r="201" spans="1:3">
      <c r="B201">
        <v>2</v>
      </c>
      <c r="C201" t="s">
        <v>835</v>
      </c>
    </row>
    <row r="202" spans="1:3">
      <c r="B202">
        <v>3</v>
      </c>
      <c r="C202" t="s">
        <v>836</v>
      </c>
    </row>
    <row r="203" spans="1:3">
      <c r="B203">
        <v>4</v>
      </c>
      <c r="C203" t="s">
        <v>837</v>
      </c>
    </row>
    <row r="206" spans="1:3">
      <c r="A206" s="16" t="s">
        <v>852</v>
      </c>
    </row>
    <row r="207" spans="1:3">
      <c r="B207" t="s">
        <v>853</v>
      </c>
    </row>
    <row r="208" spans="1:3">
      <c r="C208" t="s">
        <v>854</v>
      </c>
    </row>
    <row r="209" spans="1:11">
      <c r="C209" t="s">
        <v>855</v>
      </c>
    </row>
    <row r="212" spans="1:11">
      <c r="A212" s="16" t="s">
        <v>0</v>
      </c>
    </row>
    <row r="213" spans="1:11">
      <c r="B213" t="s">
        <v>1279</v>
      </c>
    </row>
    <row r="214" spans="1:11">
      <c r="B214" s="16" t="s">
        <v>1275</v>
      </c>
    </row>
    <row r="215" spans="1:11">
      <c r="B215" s="95"/>
    </row>
    <row r="216" spans="1:11">
      <c r="B216" s="48" t="s">
        <v>1212</v>
      </c>
      <c r="C216" s="5"/>
      <c r="D216" s="5"/>
      <c r="E216" s="6"/>
      <c r="G216" s="48" t="s">
        <v>1213</v>
      </c>
      <c r="H216" s="5"/>
      <c r="I216" s="5"/>
      <c r="J216" s="6"/>
      <c r="K216" s="7"/>
    </row>
    <row r="217" spans="1:11">
      <c r="B217" s="3" t="s">
        <v>1276</v>
      </c>
      <c r="C217" s="7"/>
      <c r="D217" s="7"/>
      <c r="E217" s="8"/>
      <c r="F217" t="s">
        <v>134</v>
      </c>
      <c r="G217" s="3" t="s">
        <v>1276</v>
      </c>
      <c r="H217" s="7"/>
      <c r="I217" s="7"/>
      <c r="J217" s="8"/>
      <c r="K217" s="7"/>
    </row>
    <row r="218" spans="1:11">
      <c r="B218" s="3" t="s">
        <v>1292</v>
      </c>
      <c r="C218" s="7"/>
      <c r="D218" s="7"/>
      <c r="E218" s="8"/>
      <c r="F218" t="s">
        <v>134</v>
      </c>
      <c r="G218" s="3" t="s">
        <v>1277</v>
      </c>
      <c r="H218" s="7"/>
      <c r="I218" s="7"/>
      <c r="J218" s="8"/>
      <c r="K218" s="7"/>
    </row>
    <row r="219" spans="1:11">
      <c r="B219" s="3" t="s">
        <v>1280</v>
      </c>
      <c r="C219" s="7"/>
      <c r="D219" s="7"/>
      <c r="E219" s="8"/>
      <c r="G219" s="3" t="s">
        <v>1285</v>
      </c>
      <c r="H219" s="7"/>
      <c r="I219" s="7"/>
      <c r="J219" s="8"/>
      <c r="K219" s="7"/>
    </row>
    <row r="220" spans="1:11">
      <c r="B220" s="3" t="s">
        <v>1278</v>
      </c>
      <c r="C220" s="7"/>
      <c r="D220" s="7"/>
      <c r="E220" s="8"/>
      <c r="G220" s="3" t="s">
        <v>1278</v>
      </c>
      <c r="H220" s="7"/>
      <c r="I220" s="7"/>
      <c r="J220" s="8"/>
      <c r="K220" s="7"/>
    </row>
    <row r="221" spans="1:11">
      <c r="B221" s="3"/>
      <c r="C221" s="7"/>
      <c r="D221" s="7"/>
      <c r="E221" s="8"/>
      <c r="G221" s="3"/>
      <c r="H221" s="7"/>
      <c r="I221" s="7"/>
      <c r="J221" s="8"/>
      <c r="K221" s="7"/>
    </row>
    <row r="222" spans="1:11">
      <c r="B222" s="3" t="s">
        <v>1282</v>
      </c>
      <c r="C222" s="7"/>
      <c r="D222" s="7"/>
      <c r="E222" s="8"/>
      <c r="G222" s="3" t="s">
        <v>1286</v>
      </c>
      <c r="H222" s="7"/>
      <c r="I222" s="7"/>
      <c r="J222" s="8"/>
      <c r="K222" s="7"/>
    </row>
    <row r="223" spans="1:11">
      <c r="B223" s="3" t="s">
        <v>1281</v>
      </c>
      <c r="C223" s="7"/>
      <c r="D223" s="7"/>
      <c r="E223" s="8"/>
      <c r="G223" s="3" t="s">
        <v>1284</v>
      </c>
      <c r="H223" s="7"/>
      <c r="I223" s="7"/>
      <c r="J223" s="8"/>
      <c r="K223" s="7"/>
    </row>
    <row r="224" spans="1:11">
      <c r="B224" s="4" t="s">
        <v>1283</v>
      </c>
      <c r="C224" s="10"/>
      <c r="D224" s="10"/>
      <c r="E224" s="11"/>
      <c r="G224" s="4" t="s">
        <v>1287</v>
      </c>
      <c r="H224" s="10"/>
      <c r="I224" s="10"/>
      <c r="J224" s="11"/>
      <c r="K224" s="7"/>
    </row>
    <row r="226" spans="1:5">
      <c r="B226" s="48" t="s">
        <v>1290</v>
      </c>
      <c r="C226" s="5"/>
      <c r="D226" s="5"/>
      <c r="E226" s="6"/>
    </row>
    <row r="227" spans="1:5">
      <c r="B227" s="3" t="s">
        <v>1288</v>
      </c>
      <c r="C227" s="7"/>
      <c r="D227" s="7"/>
      <c r="E227" s="8"/>
    </row>
    <row r="228" spans="1:5">
      <c r="B228" s="3" t="s">
        <v>1291</v>
      </c>
      <c r="C228" s="7"/>
      <c r="D228" s="7"/>
      <c r="E228" s="8"/>
    </row>
    <row r="229" spans="1:5">
      <c r="B229" s="3" t="s">
        <v>1289</v>
      </c>
      <c r="C229" s="7"/>
      <c r="D229" s="7"/>
      <c r="E229" s="8"/>
    </row>
    <row r="230" spans="1:5">
      <c r="B230" s="3" t="s">
        <v>1278</v>
      </c>
      <c r="C230" s="7"/>
      <c r="D230" s="7"/>
      <c r="E230" s="8"/>
    </row>
    <row r="231" spans="1:5">
      <c r="B231" s="3"/>
      <c r="C231" s="7"/>
      <c r="D231" s="7"/>
      <c r="E231" s="8"/>
    </row>
    <row r="232" spans="1:5">
      <c r="B232" s="3" t="s">
        <v>1293</v>
      </c>
      <c r="C232" s="7"/>
      <c r="D232" s="7"/>
      <c r="E232" s="8"/>
    </row>
    <row r="233" spans="1:5">
      <c r="B233" s="3" t="s">
        <v>1294</v>
      </c>
      <c r="C233" s="7"/>
      <c r="D233" s="7"/>
      <c r="E233" s="8"/>
    </row>
    <row r="234" spans="1:5">
      <c r="B234" s="4" t="s">
        <v>1283</v>
      </c>
      <c r="C234" s="10"/>
      <c r="D234" s="10"/>
      <c r="E234" s="11"/>
    </row>
    <row r="237" spans="1:5">
      <c r="A237" s="16" t="s">
        <v>1295</v>
      </c>
    </row>
    <row r="238" spans="1:5">
      <c r="B238" s="16" t="s">
        <v>1304</v>
      </c>
    </row>
    <row r="240" spans="1:5">
      <c r="C240" s="16" t="s">
        <v>1296</v>
      </c>
    </row>
    <row r="241" spans="2:4">
      <c r="D241" t="s">
        <v>1297</v>
      </c>
    </row>
    <row r="242" spans="2:4">
      <c r="D242" t="s">
        <v>1298</v>
      </c>
    </row>
    <row r="243" spans="2:4">
      <c r="D243" t="s">
        <v>1299</v>
      </c>
    </row>
    <row r="244" spans="2:4">
      <c r="D244" t="s">
        <v>1300</v>
      </c>
    </row>
    <row r="245" spans="2:4">
      <c r="D245" t="s">
        <v>1301</v>
      </c>
    </row>
    <row r="246" spans="2:4">
      <c r="D246" t="s">
        <v>1302</v>
      </c>
    </row>
    <row r="248" spans="2:4">
      <c r="C248" s="16" t="s">
        <v>1306</v>
      </c>
    </row>
    <row r="249" spans="2:4">
      <c r="D249" t="s">
        <v>1303</v>
      </c>
    </row>
    <row r="250" spans="2:4">
      <c r="D250" t="s">
        <v>1305</v>
      </c>
    </row>
    <row r="252" spans="2:4">
      <c r="B252" t="s">
        <v>1307</v>
      </c>
    </row>
    <row r="254" spans="2:4">
      <c r="C254" s="16" t="s">
        <v>1296</v>
      </c>
    </row>
    <row r="255" spans="2:4">
      <c r="D255" t="s">
        <v>1308</v>
      </c>
    </row>
    <row r="256" spans="2:4">
      <c r="D256" t="s">
        <v>1309</v>
      </c>
    </row>
    <row r="257" spans="1:4">
      <c r="D257" t="s">
        <v>1310</v>
      </c>
    </row>
    <row r="258" spans="1:4">
      <c r="D258" t="s">
        <v>1311</v>
      </c>
    </row>
    <row r="259" spans="1:4">
      <c r="D259" t="s">
        <v>1312</v>
      </c>
    </row>
    <row r="261" spans="1:4">
      <c r="C261" s="16" t="s">
        <v>1306</v>
      </c>
    </row>
    <row r="262" spans="1:4">
      <c r="D262" t="s">
        <v>1313</v>
      </c>
    </row>
    <row r="263" spans="1:4">
      <c r="D263" t="s">
        <v>1314</v>
      </c>
    </row>
    <row r="264" spans="1:4">
      <c r="D264" t="s">
        <v>1315</v>
      </c>
    </row>
    <row r="265" spans="1:4">
      <c r="D265" t="s">
        <v>1316</v>
      </c>
    </row>
    <row r="268" spans="1:4">
      <c r="A268" s="16" t="s">
        <v>1317</v>
      </c>
    </row>
    <row r="270" spans="1:4">
      <c r="B270" t="s">
        <v>1318</v>
      </c>
    </row>
    <row r="271" spans="1:4">
      <c r="B271" t="s">
        <v>1327</v>
      </c>
    </row>
    <row r="272" spans="1:4">
      <c r="B272" t="s">
        <v>1319</v>
      </c>
    </row>
    <row r="273" spans="2:2">
      <c r="B273" t="s">
        <v>1320</v>
      </c>
    </row>
    <row r="274" spans="2:2">
      <c r="B274" t="s">
        <v>1333</v>
      </c>
    </row>
    <row r="275" spans="2:2">
      <c r="B275" t="s">
        <v>1334</v>
      </c>
    </row>
    <row r="276" spans="2:2">
      <c r="B276" t="s">
        <v>1321</v>
      </c>
    </row>
    <row r="277" spans="2:2">
      <c r="B277" t="s">
        <v>1322</v>
      </c>
    </row>
    <row r="278" spans="2:2">
      <c r="B278" t="s">
        <v>1323</v>
      </c>
    </row>
    <row r="279" spans="2:2">
      <c r="B279" t="s">
        <v>1325</v>
      </c>
    </row>
    <row r="280" spans="2:2">
      <c r="B280" t="s">
        <v>1326</v>
      </c>
    </row>
    <row r="281" spans="2:2">
      <c r="B281" t="s">
        <v>1324</v>
      </c>
    </row>
    <row r="282" spans="2:2">
      <c r="B282" t="s">
        <v>1328</v>
      </c>
    </row>
    <row r="283" spans="2:2">
      <c r="B283" t="s">
        <v>1329</v>
      </c>
    </row>
    <row r="284" spans="2:2">
      <c r="B284" t="s">
        <v>1330</v>
      </c>
    </row>
    <row r="285" spans="2:2">
      <c r="B285" t="s">
        <v>1336</v>
      </c>
    </row>
    <row r="286" spans="2:2">
      <c r="B286" t="s">
        <v>1335</v>
      </c>
    </row>
    <row r="287" spans="2:2">
      <c r="B287" t="s">
        <v>1337</v>
      </c>
    </row>
    <row r="288" spans="2:2">
      <c r="B288" t="s">
        <v>1331</v>
      </c>
    </row>
    <row r="289" spans="2:2">
      <c r="B289" t="s">
        <v>1332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226"/>
  <sheetViews>
    <sheetView topLeftCell="A212" zoomScale="145" zoomScaleNormal="145" workbookViewId="0">
      <selection activeCell="G103" sqref="G103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538</v>
      </c>
    </row>
    <row r="3" spans="1:12">
      <c r="B3" t="s">
        <v>539</v>
      </c>
    </row>
    <row r="4" spans="1:12">
      <c r="B4" t="s">
        <v>540</v>
      </c>
    </row>
    <row r="6" spans="1:12">
      <c r="B6" s="33" t="s">
        <v>544</v>
      </c>
      <c r="C6" s="34"/>
      <c r="D6" s="49" t="s">
        <v>537</v>
      </c>
    </row>
    <row r="7" spans="1:12">
      <c r="B7" s="39" t="s">
        <v>541</v>
      </c>
      <c r="C7" s="34"/>
      <c r="D7" s="24">
        <v>2300</v>
      </c>
    </row>
    <row r="8" spans="1:12">
      <c r="B8" s="39" t="s">
        <v>542</v>
      </c>
      <c r="C8" s="34"/>
      <c r="D8" s="24">
        <v>500</v>
      </c>
    </row>
    <row r="10" spans="1:12">
      <c r="A10" s="16" t="s">
        <v>586</v>
      </c>
      <c r="C10" s="53">
        <v>46008</v>
      </c>
    </row>
    <row r="11" spans="1:12">
      <c r="A11" s="16"/>
    </row>
    <row r="12" spans="1:12">
      <c r="B12" s="16" t="s">
        <v>590</v>
      </c>
      <c r="H12" s="16" t="s">
        <v>591</v>
      </c>
    </row>
    <row r="13" spans="1:12">
      <c r="B13" s="52" t="s">
        <v>587</v>
      </c>
      <c r="C13" s="49" t="s">
        <v>512</v>
      </c>
      <c r="D13" s="49" t="s">
        <v>588</v>
      </c>
      <c r="E13" s="49" t="s">
        <v>537</v>
      </c>
      <c r="F13" s="49" t="s">
        <v>589</v>
      </c>
      <c r="H13" s="52" t="s">
        <v>587</v>
      </c>
      <c r="I13" s="49" t="s">
        <v>512</v>
      </c>
      <c r="J13" s="49" t="s">
        <v>588</v>
      </c>
      <c r="K13" s="49" t="s">
        <v>537</v>
      </c>
      <c r="L13" s="49" t="s">
        <v>589</v>
      </c>
    </row>
    <row r="14" spans="1:12">
      <c r="B14" s="24">
        <v>1</v>
      </c>
      <c r="C14" s="24" t="s">
        <v>789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552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790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569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567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594</v>
      </c>
    </row>
    <row r="22" spans="1:12">
      <c r="B22" s="52" t="s">
        <v>587</v>
      </c>
      <c r="C22" s="49" t="s">
        <v>512</v>
      </c>
      <c r="D22" s="49" t="s">
        <v>588</v>
      </c>
      <c r="E22" s="49" t="s">
        <v>537</v>
      </c>
      <c r="F22" s="49" t="s">
        <v>589</v>
      </c>
    </row>
    <row r="23" spans="1:12">
      <c r="B23" s="24">
        <v>1</v>
      </c>
      <c r="C23" s="24" t="s">
        <v>791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574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571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569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545</v>
      </c>
    </row>
    <row r="31" spans="1:12">
      <c r="B31" t="s">
        <v>559</v>
      </c>
    </row>
    <row r="32" spans="1:12">
      <c r="H32" t="s">
        <v>537</v>
      </c>
    </row>
    <row r="33" spans="1:8">
      <c r="B33" s="48" t="s">
        <v>512</v>
      </c>
      <c r="C33" s="5"/>
      <c r="D33" s="6"/>
      <c r="E33" s="49" t="s">
        <v>546</v>
      </c>
      <c r="F33" s="49" t="s">
        <v>547</v>
      </c>
      <c r="G33" s="49" t="s">
        <v>548</v>
      </c>
      <c r="H33" s="49" t="s">
        <v>543</v>
      </c>
    </row>
    <row r="34" spans="1:8">
      <c r="B34" s="39" t="s">
        <v>549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550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551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552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553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554</v>
      </c>
      <c r="C39" s="7"/>
      <c r="D39" s="8"/>
      <c r="E39" s="24" t="s">
        <v>555</v>
      </c>
      <c r="F39" s="24">
        <v>11</v>
      </c>
      <c r="G39" s="24">
        <v>0.5</v>
      </c>
      <c r="H39" s="24">
        <v>150</v>
      </c>
    </row>
    <row r="40" spans="1:8">
      <c r="B40" s="39" t="s">
        <v>556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557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558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788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560</v>
      </c>
    </row>
    <row r="47" spans="1:8">
      <c r="B47" s="48" t="s">
        <v>512</v>
      </c>
      <c r="C47" s="5"/>
      <c r="D47" s="6"/>
      <c r="E47" s="51" t="s">
        <v>561</v>
      </c>
      <c r="F47" s="49" t="s">
        <v>562</v>
      </c>
      <c r="G47" s="49" t="s">
        <v>563</v>
      </c>
      <c r="H47" s="49" t="s">
        <v>543</v>
      </c>
    </row>
    <row r="48" spans="1:8">
      <c r="B48" s="39" t="s">
        <v>564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565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566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567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568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569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570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571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572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733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573</v>
      </c>
    </row>
    <row r="61" spans="1:8">
      <c r="B61" s="48" t="s">
        <v>512</v>
      </c>
      <c r="C61" s="5"/>
      <c r="D61" s="6"/>
      <c r="E61" s="49" t="s">
        <v>561</v>
      </c>
      <c r="F61" s="49" t="s">
        <v>562</v>
      </c>
      <c r="G61" s="49" t="s">
        <v>563</v>
      </c>
      <c r="H61" s="49" t="s">
        <v>543</v>
      </c>
    </row>
    <row r="62" spans="1:8">
      <c r="B62" s="39" t="s">
        <v>574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575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576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577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578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579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732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580</v>
      </c>
    </row>
    <row r="72" spans="1:8">
      <c r="B72" s="48" t="s">
        <v>512</v>
      </c>
      <c r="C72" s="5"/>
      <c r="D72" s="6"/>
      <c r="E72" s="49" t="s">
        <v>561</v>
      </c>
      <c r="F72" s="49" t="s">
        <v>562</v>
      </c>
      <c r="G72" s="49" t="s">
        <v>563</v>
      </c>
      <c r="H72" s="49" t="s">
        <v>543</v>
      </c>
    </row>
    <row r="73" spans="1:8">
      <c r="B73" s="39" t="s">
        <v>581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582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583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584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585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  <row r="81" spans="1:12">
      <c r="A81" s="16" t="s">
        <v>1338</v>
      </c>
    </row>
    <row r="82" spans="1:12">
      <c r="B82" s="16" t="s">
        <v>1339</v>
      </c>
    </row>
    <row r="83" spans="1:12">
      <c r="C83" t="s">
        <v>1340</v>
      </c>
    </row>
    <row r="84" spans="1:12">
      <c r="C84" t="s">
        <v>1341</v>
      </c>
    </row>
    <row r="85" spans="1:12">
      <c r="C85" t="s">
        <v>1342</v>
      </c>
    </row>
    <row r="86" spans="1:12">
      <c r="C86" t="s">
        <v>1343</v>
      </c>
    </row>
    <row r="87" spans="1:12">
      <c r="C87" t="s">
        <v>1344</v>
      </c>
    </row>
    <row r="89" spans="1:12">
      <c r="B89" s="16" t="s">
        <v>1345</v>
      </c>
    </row>
    <row r="90" spans="1:12">
      <c r="C90" s="16" t="s">
        <v>590</v>
      </c>
      <c r="E90" s="16" t="s">
        <v>331</v>
      </c>
      <c r="G90" s="16" t="s">
        <v>591</v>
      </c>
      <c r="I90" s="16" t="s">
        <v>1357</v>
      </c>
      <c r="K90" s="16" t="s">
        <v>594</v>
      </c>
      <c r="L90" s="16" t="s">
        <v>1370</v>
      </c>
    </row>
    <row r="91" spans="1:12">
      <c r="C91" s="25" t="s">
        <v>1346</v>
      </c>
      <c r="E91" t="s">
        <v>1351</v>
      </c>
      <c r="G91" t="s">
        <v>1354</v>
      </c>
      <c r="I91" t="s">
        <v>1358</v>
      </c>
      <c r="K91" t="s">
        <v>1360</v>
      </c>
      <c r="L91" t="s">
        <v>1371</v>
      </c>
    </row>
    <row r="92" spans="1:12">
      <c r="C92" t="s">
        <v>1347</v>
      </c>
      <c r="E92" t="s">
        <v>1352</v>
      </c>
      <c r="G92" t="s">
        <v>1355</v>
      </c>
      <c r="I92" t="s">
        <v>1359</v>
      </c>
      <c r="K92" t="s">
        <v>1361</v>
      </c>
      <c r="L92" t="s">
        <v>1358</v>
      </c>
    </row>
    <row r="93" spans="1:12">
      <c r="C93" t="s">
        <v>1348</v>
      </c>
      <c r="E93" t="s">
        <v>1353</v>
      </c>
      <c r="G93" t="s">
        <v>1356</v>
      </c>
      <c r="K93" t="s">
        <v>1362</v>
      </c>
    </row>
    <row r="94" spans="1:12">
      <c r="C94" t="s">
        <v>1349</v>
      </c>
    </row>
    <row r="95" spans="1:12">
      <c r="C95" t="s">
        <v>1350</v>
      </c>
    </row>
    <row r="97" spans="2:7">
      <c r="C97" s="16" t="s">
        <v>1385</v>
      </c>
    </row>
    <row r="98" spans="2:7">
      <c r="D98" t="s">
        <v>1364</v>
      </c>
    </row>
    <row r="99" spans="2:7">
      <c r="D99" t="s">
        <v>1365</v>
      </c>
    </row>
    <row r="100" spans="2:7">
      <c r="D100" t="s">
        <v>1366</v>
      </c>
    </row>
    <row r="101" spans="2:7">
      <c r="D101" t="s">
        <v>1367</v>
      </c>
    </row>
    <row r="102" spans="2:7">
      <c r="D102" t="s">
        <v>1368</v>
      </c>
    </row>
    <row r="103" spans="2:7">
      <c r="D103" t="s">
        <v>1369</v>
      </c>
    </row>
    <row r="105" spans="2:7">
      <c r="B105" s="16" t="s">
        <v>1372</v>
      </c>
    </row>
    <row r="106" spans="2:7">
      <c r="C106" s="16" t="s">
        <v>590</v>
      </c>
      <c r="D106" s="16" t="s">
        <v>591</v>
      </c>
      <c r="E106" s="16" t="s">
        <v>1370</v>
      </c>
      <c r="G106" s="16" t="s">
        <v>594</v>
      </c>
    </row>
    <row r="107" spans="2:7">
      <c r="C107" t="s">
        <v>1373</v>
      </c>
      <c r="D107" t="s">
        <v>1377</v>
      </c>
      <c r="E107" t="s">
        <v>1380</v>
      </c>
      <c r="G107" t="s">
        <v>1383</v>
      </c>
    </row>
    <row r="108" spans="2:7">
      <c r="C108" t="s">
        <v>1374</v>
      </c>
      <c r="D108" t="s">
        <v>1378</v>
      </c>
      <c r="E108" t="s">
        <v>1381</v>
      </c>
      <c r="G108" t="s">
        <v>789</v>
      </c>
    </row>
    <row r="109" spans="2:7">
      <c r="C109" t="s">
        <v>1375</v>
      </c>
      <c r="D109" t="s">
        <v>1379</v>
      </c>
      <c r="E109" s="25" t="s">
        <v>1382</v>
      </c>
    </row>
    <row r="110" spans="2:7">
      <c r="C110" t="s">
        <v>1376</v>
      </c>
    </row>
    <row r="112" spans="2:7">
      <c r="C112" s="16" t="s">
        <v>1384</v>
      </c>
    </row>
    <row r="113" spans="2:4">
      <c r="D113" t="s">
        <v>1386</v>
      </c>
    </row>
    <row r="114" spans="2:4">
      <c r="D114" s="25" t="s">
        <v>1387</v>
      </c>
    </row>
    <row r="115" spans="2:4">
      <c r="D115" s="25" t="s">
        <v>1388</v>
      </c>
    </row>
    <row r="116" spans="2:4">
      <c r="D116" t="s">
        <v>1389</v>
      </c>
    </row>
    <row r="117" spans="2:4">
      <c r="D117" t="s">
        <v>1390</v>
      </c>
    </row>
    <row r="118" spans="2:4">
      <c r="D118" t="s">
        <v>1391</v>
      </c>
    </row>
    <row r="120" spans="2:4">
      <c r="B120" s="16" t="s">
        <v>1392</v>
      </c>
    </row>
    <row r="121" spans="2:4">
      <c r="C121" s="16" t="s">
        <v>1393</v>
      </c>
    </row>
    <row r="122" spans="2:4">
      <c r="D122" t="s">
        <v>1394</v>
      </c>
    </row>
    <row r="124" spans="2:4">
      <c r="C124" s="16" t="s">
        <v>1363</v>
      </c>
    </row>
    <row r="125" spans="2:4">
      <c r="D125" t="s">
        <v>1395</v>
      </c>
    </row>
    <row r="127" spans="2:4">
      <c r="D127" t="s">
        <v>1396</v>
      </c>
    </row>
    <row r="128" spans="2:4">
      <c r="D128" s="25" t="s">
        <v>1397</v>
      </c>
    </row>
    <row r="129" spans="2:5">
      <c r="D129" t="s">
        <v>1398</v>
      </c>
    </row>
    <row r="130" spans="2:5">
      <c r="D130" t="s">
        <v>1399</v>
      </c>
    </row>
    <row r="131" spans="2:5">
      <c r="D131" t="s">
        <v>1400</v>
      </c>
    </row>
    <row r="132" spans="2:5">
      <c r="D132" t="s">
        <v>1401</v>
      </c>
    </row>
    <row r="133" spans="2:5">
      <c r="D133" t="s">
        <v>1402</v>
      </c>
    </row>
    <row r="135" spans="2:5">
      <c r="B135" s="16" t="s">
        <v>1403</v>
      </c>
    </row>
    <row r="136" spans="2:5">
      <c r="C136" t="s">
        <v>1404</v>
      </c>
    </row>
    <row r="137" spans="2:5">
      <c r="C137" s="96" t="s">
        <v>1405</v>
      </c>
    </row>
    <row r="139" spans="2:5">
      <c r="C139" t="s">
        <v>1406</v>
      </c>
    </row>
    <row r="140" spans="2:5">
      <c r="D140" t="s">
        <v>790</v>
      </c>
      <c r="E140" t="s">
        <v>1410</v>
      </c>
    </row>
    <row r="141" spans="2:5">
      <c r="D141" t="s">
        <v>1407</v>
      </c>
      <c r="E141" t="s">
        <v>1411</v>
      </c>
    </row>
    <row r="142" spans="2:5">
      <c r="D142" t="s">
        <v>1408</v>
      </c>
      <c r="E142" t="s">
        <v>1351</v>
      </c>
    </row>
    <row r="143" spans="2:5">
      <c r="D143" t="s">
        <v>1409</v>
      </c>
    </row>
    <row r="145" spans="2:4">
      <c r="B145" s="16" t="s">
        <v>1412</v>
      </c>
    </row>
    <row r="146" spans="2:4">
      <c r="C146" s="16" t="s">
        <v>1363</v>
      </c>
    </row>
    <row r="147" spans="2:4">
      <c r="C147" t="s">
        <v>1413</v>
      </c>
    </row>
    <row r="149" spans="2:4">
      <c r="C149" t="s">
        <v>1414</v>
      </c>
    </row>
    <row r="150" spans="2:4">
      <c r="C150" t="s">
        <v>1415</v>
      </c>
    </row>
    <row r="151" spans="2:4">
      <c r="C151" t="s">
        <v>1416</v>
      </c>
    </row>
    <row r="152" spans="2:4">
      <c r="C152" t="s">
        <v>1417</v>
      </c>
    </row>
    <row r="153" spans="2:4">
      <c r="C153" t="s">
        <v>1418</v>
      </c>
    </row>
    <row r="154" spans="2:4">
      <c r="C154" t="s">
        <v>1391</v>
      </c>
    </row>
    <row r="156" spans="2:4">
      <c r="C156" t="s">
        <v>512</v>
      </c>
    </row>
    <row r="157" spans="2:4">
      <c r="D157" t="s">
        <v>1419</v>
      </c>
    </row>
    <row r="158" spans="2:4">
      <c r="D158" t="s">
        <v>1407</v>
      </c>
    </row>
    <row r="159" spans="2:4">
      <c r="D159" t="s">
        <v>1420</v>
      </c>
    </row>
    <row r="160" spans="2:4">
      <c r="D160" t="s">
        <v>1421</v>
      </c>
    </row>
    <row r="161" spans="2:5">
      <c r="D161" t="s">
        <v>1353</v>
      </c>
    </row>
    <row r="162" spans="2:5">
      <c r="B162" s="16" t="s">
        <v>1422</v>
      </c>
    </row>
    <row r="164" spans="2:5">
      <c r="C164" s="16" t="s">
        <v>1423</v>
      </c>
    </row>
    <row r="165" spans="2:5">
      <c r="D165" t="s">
        <v>1424</v>
      </c>
    </row>
    <row r="166" spans="2:5">
      <c r="E166" t="s">
        <v>1425</v>
      </c>
    </row>
    <row r="167" spans="2:5">
      <c r="E167" t="s">
        <v>1426</v>
      </c>
    </row>
    <row r="169" spans="2:5">
      <c r="C169" s="16" t="s">
        <v>1427</v>
      </c>
    </row>
    <row r="170" spans="2:5">
      <c r="D170" t="s">
        <v>1428</v>
      </c>
    </row>
    <row r="171" spans="2:5">
      <c r="D171" t="s">
        <v>1353</v>
      </c>
    </row>
    <row r="172" spans="2:5">
      <c r="D172" t="s">
        <v>1429</v>
      </c>
    </row>
    <row r="174" spans="2:5">
      <c r="C174" s="16" t="s">
        <v>1430</v>
      </c>
    </row>
    <row r="175" spans="2:5">
      <c r="D175" t="s">
        <v>1431</v>
      </c>
    </row>
    <row r="176" spans="2:5">
      <c r="D176" t="s">
        <v>1381</v>
      </c>
    </row>
    <row r="177" spans="2:4">
      <c r="D177" t="s">
        <v>1432</v>
      </c>
    </row>
    <row r="179" spans="2:4">
      <c r="C179" s="16" t="s">
        <v>1433</v>
      </c>
    </row>
    <row r="180" spans="2:4">
      <c r="D180" t="s">
        <v>1434</v>
      </c>
    </row>
    <row r="181" spans="2:4">
      <c r="D181" t="s">
        <v>1435</v>
      </c>
    </row>
    <row r="182" spans="2:4">
      <c r="D182" t="s">
        <v>1436</v>
      </c>
    </row>
    <row r="183" spans="2:4">
      <c r="D183" s="25" t="s">
        <v>1437</v>
      </c>
    </row>
    <row r="184" spans="2:4">
      <c r="B184" s="16" t="s">
        <v>1438</v>
      </c>
    </row>
    <row r="185" spans="2:4">
      <c r="C185" s="16" t="s">
        <v>1363</v>
      </c>
    </row>
    <row r="186" spans="2:4">
      <c r="C186" s="96" t="s">
        <v>1439</v>
      </c>
    </row>
    <row r="187" spans="2:4">
      <c r="D187" t="s">
        <v>1366</v>
      </c>
    </row>
    <row r="188" spans="2:4">
      <c r="D188" t="s">
        <v>1440</v>
      </c>
    </row>
    <row r="189" spans="2:4">
      <c r="D189" t="s">
        <v>1441</v>
      </c>
    </row>
    <row r="190" spans="2:4">
      <c r="D190" t="s">
        <v>1442</v>
      </c>
    </row>
    <row r="191" spans="2:4">
      <c r="D191" t="s">
        <v>1388</v>
      </c>
    </row>
    <row r="192" spans="2:4">
      <c r="D192" t="s">
        <v>1443</v>
      </c>
    </row>
    <row r="194" spans="2:4">
      <c r="C194" s="16" t="s">
        <v>512</v>
      </c>
    </row>
    <row r="195" spans="2:4">
      <c r="D195" t="s">
        <v>1444</v>
      </c>
    </row>
    <row r="196" spans="2:4">
      <c r="D196" t="s">
        <v>1445</v>
      </c>
    </row>
    <row r="197" spans="2:4">
      <c r="D197" t="s">
        <v>1446</v>
      </c>
    </row>
    <row r="198" spans="2:4">
      <c r="D198" t="s">
        <v>1408</v>
      </c>
    </row>
    <row r="200" spans="2:4">
      <c r="D200" t="s">
        <v>1447</v>
      </c>
    </row>
    <row r="202" spans="2:4">
      <c r="B202" s="16" t="s">
        <v>1448</v>
      </c>
    </row>
    <row r="204" spans="2:4">
      <c r="C204" s="16" t="s">
        <v>1449</v>
      </c>
    </row>
    <row r="205" spans="2:4">
      <c r="C205" t="s">
        <v>790</v>
      </c>
    </row>
    <row r="206" spans="2:4">
      <c r="C206" t="s">
        <v>1407</v>
      </c>
    </row>
    <row r="207" spans="2:4">
      <c r="C207" t="s">
        <v>1420</v>
      </c>
    </row>
    <row r="208" spans="2:4">
      <c r="C208" t="s">
        <v>1450</v>
      </c>
    </row>
    <row r="209" spans="2:5">
      <c r="C209" t="s">
        <v>1451</v>
      </c>
    </row>
    <row r="210" spans="2:5">
      <c r="C210" t="s">
        <v>1351</v>
      </c>
    </row>
    <row r="211" spans="2:5">
      <c r="C211" t="s">
        <v>1421</v>
      </c>
    </row>
    <row r="212" spans="2:5">
      <c r="C212" t="s">
        <v>1361</v>
      </c>
    </row>
    <row r="213" spans="2:5">
      <c r="C213" t="s">
        <v>1408</v>
      </c>
    </row>
    <row r="214" spans="2:5">
      <c r="C214" t="s">
        <v>1452</v>
      </c>
    </row>
    <row r="216" spans="2:5">
      <c r="B216" s="16" t="s">
        <v>1453</v>
      </c>
    </row>
    <row r="217" spans="2:5">
      <c r="C217" s="16" t="s">
        <v>1454</v>
      </c>
      <c r="E217" s="16" t="s">
        <v>1458</v>
      </c>
    </row>
    <row r="218" spans="2:5">
      <c r="C218" t="s">
        <v>1455</v>
      </c>
      <c r="E218" t="s">
        <v>1459</v>
      </c>
    </row>
    <row r="219" spans="2:5">
      <c r="C219" t="s">
        <v>1456</v>
      </c>
      <c r="E219" t="s">
        <v>1460</v>
      </c>
    </row>
    <row r="220" spans="2:5">
      <c r="C220" t="s">
        <v>1457</v>
      </c>
      <c r="E220" t="s">
        <v>1461</v>
      </c>
    </row>
    <row r="222" spans="2:5">
      <c r="B222" s="16" t="s">
        <v>1462</v>
      </c>
    </row>
    <row r="223" spans="2:5">
      <c r="C223" t="s">
        <v>1463</v>
      </c>
    </row>
    <row r="224" spans="2:5">
      <c r="D224" t="s">
        <v>1464</v>
      </c>
    </row>
    <row r="225" spans="4:4">
      <c r="D225" t="s">
        <v>1465</v>
      </c>
    </row>
    <row r="226" spans="4:4">
      <c r="D226" t="s">
        <v>1466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7"/>
  <sheetViews>
    <sheetView topLeftCell="A253" zoomScale="145" zoomScaleNormal="145" workbookViewId="0">
      <selection activeCell="H293" sqref="H293"/>
    </sheetView>
  </sheetViews>
  <sheetFormatPr defaultRowHeight="14.4"/>
  <cols>
    <col min="4" max="4" width="9.44140625" bestFit="1" customWidth="1"/>
  </cols>
  <sheetData>
    <row r="1" spans="1:4">
      <c r="A1" s="16" t="s">
        <v>603</v>
      </c>
    </row>
    <row r="2" spans="1:4">
      <c r="B2" t="s">
        <v>604</v>
      </c>
      <c r="D2" t="s">
        <v>605</v>
      </c>
    </row>
    <row r="4" spans="1:4">
      <c r="A4" s="16" t="s">
        <v>856</v>
      </c>
    </row>
    <row r="5" spans="1:4">
      <c r="B5" s="70" t="s">
        <v>857</v>
      </c>
    </row>
    <row r="6" spans="1:4">
      <c r="B6" t="s">
        <v>858</v>
      </c>
    </row>
    <row r="7" spans="1:4">
      <c r="B7" t="s">
        <v>859</v>
      </c>
    </row>
    <row r="8" spans="1:4">
      <c r="B8" t="s">
        <v>860</v>
      </c>
    </row>
    <row r="10" spans="1:4">
      <c r="B10" s="16" t="s">
        <v>861</v>
      </c>
    </row>
    <row r="11" spans="1:4">
      <c r="B11" t="s">
        <v>862</v>
      </c>
    </row>
    <row r="12" spans="1:4">
      <c r="B12" t="s">
        <v>863</v>
      </c>
    </row>
    <row r="14" spans="1:4">
      <c r="B14" s="16" t="s">
        <v>864</v>
      </c>
    </row>
    <row r="15" spans="1:4">
      <c r="B15" s="70" t="s">
        <v>865</v>
      </c>
    </row>
    <row r="16" spans="1:4">
      <c r="B16" s="70" t="s">
        <v>866</v>
      </c>
    </row>
    <row r="19" spans="1:5">
      <c r="A19" s="16" t="s">
        <v>885</v>
      </c>
    </row>
    <row r="21" spans="1:5">
      <c r="B21" t="s">
        <v>867</v>
      </c>
    </row>
    <row r="22" spans="1:5">
      <c r="C22" t="s">
        <v>868</v>
      </c>
    </row>
    <row r="24" spans="1:5">
      <c r="B24" t="s">
        <v>869</v>
      </c>
    </row>
    <row r="25" spans="1:5">
      <c r="C25" s="16" t="s">
        <v>870</v>
      </c>
    </row>
    <row r="26" spans="1:5">
      <c r="D26" t="s">
        <v>871</v>
      </c>
    </row>
    <row r="27" spans="1:5">
      <c r="D27" t="s">
        <v>872</v>
      </c>
    </row>
    <row r="28" spans="1:5">
      <c r="D28" t="s">
        <v>873</v>
      </c>
    </row>
    <row r="29" spans="1:5">
      <c r="E29" t="s">
        <v>874</v>
      </c>
    </row>
    <row r="30" spans="1:5">
      <c r="E30" t="s">
        <v>875</v>
      </c>
    </row>
    <row r="31" spans="1:5">
      <c r="E31" t="s">
        <v>876</v>
      </c>
    </row>
    <row r="32" spans="1:5">
      <c r="D32" s="22" t="s">
        <v>877</v>
      </c>
    </row>
    <row r="34" spans="2:4">
      <c r="C34" s="16" t="s">
        <v>878</v>
      </c>
    </row>
    <row r="35" spans="2:4">
      <c r="D35" t="s">
        <v>879</v>
      </c>
    </row>
    <row r="36" spans="2:4">
      <c r="D36" t="s">
        <v>880</v>
      </c>
    </row>
    <row r="37" spans="2:4">
      <c r="D37" t="s">
        <v>881</v>
      </c>
    </row>
    <row r="38" spans="2:4">
      <c r="D38" t="s">
        <v>882</v>
      </c>
    </row>
    <row r="40" spans="2:4">
      <c r="D40" s="22" t="s">
        <v>883</v>
      </c>
    </row>
    <row r="42" spans="2:4">
      <c r="B42" s="16" t="s">
        <v>884</v>
      </c>
    </row>
    <row r="44" spans="2:4">
      <c r="C44" t="s">
        <v>886</v>
      </c>
    </row>
    <row r="45" spans="2:4">
      <c r="C45" t="s">
        <v>887</v>
      </c>
    </row>
    <row r="46" spans="2:4">
      <c r="D46" t="s">
        <v>888</v>
      </c>
    </row>
    <row r="47" spans="2:4">
      <c r="D47" t="s">
        <v>889</v>
      </c>
    </row>
    <row r="48" spans="2:4">
      <c r="C48" t="s">
        <v>890</v>
      </c>
    </row>
    <row r="49" spans="2:4">
      <c r="C49" t="s">
        <v>891</v>
      </c>
    </row>
    <row r="51" spans="2:4">
      <c r="C51" s="22" t="s">
        <v>892</v>
      </c>
    </row>
    <row r="53" spans="2:4">
      <c r="B53" s="16" t="s">
        <v>893</v>
      </c>
    </row>
    <row r="54" spans="2:4">
      <c r="C54" t="s">
        <v>894</v>
      </c>
    </row>
    <row r="55" spans="2:4">
      <c r="D55" t="s">
        <v>895</v>
      </c>
    </row>
    <row r="56" spans="2:4">
      <c r="D56" t="s">
        <v>896</v>
      </c>
    </row>
    <row r="58" spans="2:4">
      <c r="C58" t="s">
        <v>897</v>
      </c>
    </row>
    <row r="59" spans="2:4">
      <c r="D59" t="s">
        <v>898</v>
      </c>
    </row>
    <row r="60" spans="2:4">
      <c r="D60" t="s">
        <v>899</v>
      </c>
    </row>
    <row r="62" spans="2:4">
      <c r="B62" s="16" t="s">
        <v>900</v>
      </c>
    </row>
    <row r="63" spans="2:4">
      <c r="B63" s="16"/>
    </row>
    <row r="64" spans="2:4">
      <c r="B64" s="16"/>
      <c r="C64" t="s">
        <v>901</v>
      </c>
    </row>
    <row r="65" spans="2:4">
      <c r="D65" s="71" t="s">
        <v>902</v>
      </c>
    </row>
    <row r="67" spans="2:4">
      <c r="C67" t="s">
        <v>903</v>
      </c>
    </row>
    <row r="68" spans="2:4">
      <c r="C68" t="s">
        <v>904</v>
      </c>
    </row>
    <row r="70" spans="2:4">
      <c r="C70" s="16" t="s">
        <v>905</v>
      </c>
    </row>
    <row r="71" spans="2:4">
      <c r="D71" t="s">
        <v>906</v>
      </c>
    </row>
    <row r="73" spans="2:4">
      <c r="B73" s="16" t="s">
        <v>907</v>
      </c>
    </row>
    <row r="74" spans="2:4">
      <c r="C74" t="s">
        <v>908</v>
      </c>
    </row>
    <row r="75" spans="2:4">
      <c r="C75" t="s">
        <v>909</v>
      </c>
    </row>
    <row r="76" spans="2:4">
      <c r="C76" t="s">
        <v>910</v>
      </c>
    </row>
    <row r="77" spans="2:4">
      <c r="C77" t="s">
        <v>911</v>
      </c>
    </row>
    <row r="79" spans="2:4">
      <c r="B79" s="16" t="s">
        <v>912</v>
      </c>
    </row>
    <row r="80" spans="2:4">
      <c r="C80" s="22" t="s">
        <v>913</v>
      </c>
    </row>
    <row r="81" spans="1:11">
      <c r="C81" s="22"/>
    </row>
    <row r="82" spans="1:11">
      <c r="E82" s="74" t="s">
        <v>920</v>
      </c>
      <c r="F82" s="6"/>
      <c r="H82" s="2" t="s">
        <v>921</v>
      </c>
      <c r="I82" s="6"/>
    </row>
    <row r="83" spans="1:11">
      <c r="C83" s="24" t="s">
        <v>533</v>
      </c>
      <c r="E83" s="72"/>
      <c r="F83" s="8"/>
      <c r="H83" s="3"/>
      <c r="I83" s="8"/>
      <c r="K83" s="24" t="s">
        <v>922</v>
      </c>
    </row>
    <row r="84" spans="1:11">
      <c r="E84" s="73"/>
      <c r="F84" s="11"/>
      <c r="H84" s="4"/>
      <c r="I84" s="11"/>
    </row>
    <row r="85" spans="1:11">
      <c r="C85" s="22"/>
    </row>
    <row r="86" spans="1:11">
      <c r="C86" s="22"/>
    </row>
    <row r="87" spans="1:11">
      <c r="B87" s="25" t="s">
        <v>919</v>
      </c>
      <c r="C87" s="22"/>
    </row>
    <row r="89" spans="1:11">
      <c r="A89" s="16" t="s">
        <v>914</v>
      </c>
    </row>
    <row r="90" spans="1:11">
      <c r="B90" t="s">
        <v>915</v>
      </c>
    </row>
    <row r="91" spans="1:11">
      <c r="B91" t="s">
        <v>916</v>
      </c>
    </row>
    <row r="92" spans="1:11">
      <c r="B92" t="s">
        <v>917</v>
      </c>
    </row>
    <row r="93" spans="1:11">
      <c r="B93" t="s">
        <v>918</v>
      </c>
    </row>
    <row r="94" spans="1:11">
      <c r="B94" t="s">
        <v>948</v>
      </c>
    </row>
    <row r="96" spans="1:11">
      <c r="A96" s="16" t="s">
        <v>923</v>
      </c>
    </row>
    <row r="98" spans="2:9">
      <c r="B98" t="s">
        <v>924</v>
      </c>
      <c r="F98" t="s">
        <v>928</v>
      </c>
    </row>
    <row r="99" spans="2:9">
      <c r="B99" t="s">
        <v>908</v>
      </c>
      <c r="F99" t="s">
        <v>929</v>
      </c>
      <c r="I99" t="s">
        <v>935</v>
      </c>
    </row>
    <row r="100" spans="2:9">
      <c r="B100" t="s">
        <v>925</v>
      </c>
      <c r="F100" t="s">
        <v>930</v>
      </c>
      <c r="I100" t="s">
        <v>934</v>
      </c>
    </row>
    <row r="101" spans="2:9">
      <c r="B101" t="s">
        <v>926</v>
      </c>
      <c r="F101" t="s">
        <v>931</v>
      </c>
    </row>
    <row r="102" spans="2:9">
      <c r="B102" t="s">
        <v>927</v>
      </c>
      <c r="F102" t="s">
        <v>932</v>
      </c>
      <c r="I102" t="s">
        <v>933</v>
      </c>
    </row>
    <row r="104" spans="2:9">
      <c r="B104" t="s">
        <v>936</v>
      </c>
    </row>
    <row r="106" spans="2:9">
      <c r="B106" s="16" t="s">
        <v>937</v>
      </c>
    </row>
    <row r="107" spans="2:9">
      <c r="C107" t="s">
        <v>938</v>
      </c>
    </row>
    <row r="108" spans="2:9">
      <c r="C108" t="s">
        <v>939</v>
      </c>
    </row>
    <row r="109" spans="2:9">
      <c r="C109" t="s">
        <v>940</v>
      </c>
    </row>
    <row r="111" spans="2:9">
      <c r="B111" s="16" t="s">
        <v>941</v>
      </c>
    </row>
    <row r="112" spans="2:9">
      <c r="C112" t="s">
        <v>942</v>
      </c>
    </row>
    <row r="114" spans="2:4">
      <c r="C114" t="s">
        <v>943</v>
      </c>
    </row>
    <row r="115" spans="2:4">
      <c r="D115" t="s">
        <v>944</v>
      </c>
    </row>
    <row r="116" spans="2:4">
      <c r="D116" t="s">
        <v>945</v>
      </c>
    </row>
    <row r="117" spans="2:4">
      <c r="D117" t="s">
        <v>946</v>
      </c>
    </row>
    <row r="118" spans="2:4">
      <c r="C118" t="s">
        <v>947</v>
      </c>
    </row>
    <row r="120" spans="2:4">
      <c r="B120" s="16" t="s">
        <v>949</v>
      </c>
    </row>
    <row r="121" spans="2:4">
      <c r="B121" t="s">
        <v>950</v>
      </c>
    </row>
    <row r="122" spans="2:4">
      <c r="C122" t="s">
        <v>951</v>
      </c>
    </row>
    <row r="123" spans="2:4">
      <c r="C123" t="s">
        <v>952</v>
      </c>
    </row>
    <row r="124" spans="2:4">
      <c r="C124" t="s">
        <v>953</v>
      </c>
    </row>
    <row r="125" spans="2:4">
      <c r="C125" t="s">
        <v>948</v>
      </c>
    </row>
    <row r="126" spans="2:4">
      <c r="C126" t="s">
        <v>954</v>
      </c>
    </row>
    <row r="128" spans="2:4">
      <c r="B128" s="16" t="s">
        <v>955</v>
      </c>
    </row>
    <row r="129" spans="1:3">
      <c r="C129" t="s">
        <v>956</v>
      </c>
    </row>
    <row r="130" spans="1:3">
      <c r="C130" t="s">
        <v>957</v>
      </c>
    </row>
    <row r="131" spans="1:3">
      <c r="C131" t="s">
        <v>958</v>
      </c>
    </row>
    <row r="132" spans="1:3">
      <c r="C132" t="s">
        <v>959</v>
      </c>
    </row>
    <row r="133" spans="1:3">
      <c r="C133" t="s">
        <v>960</v>
      </c>
    </row>
    <row r="134" spans="1:3">
      <c r="C134" t="s">
        <v>961</v>
      </c>
    </row>
    <row r="136" spans="1:3">
      <c r="A136" s="16" t="s">
        <v>962</v>
      </c>
    </row>
    <row r="137" spans="1:3">
      <c r="B137" t="s">
        <v>963</v>
      </c>
    </row>
    <row r="138" spans="1:3">
      <c r="C138" t="s">
        <v>964</v>
      </c>
    </row>
    <row r="139" spans="1:3">
      <c r="C139" t="s">
        <v>965</v>
      </c>
    </row>
    <row r="140" spans="1:3">
      <c r="C140" t="s">
        <v>966</v>
      </c>
    </row>
    <row r="142" spans="1:3">
      <c r="B142" t="s">
        <v>967</v>
      </c>
    </row>
    <row r="143" spans="1:3">
      <c r="C143" t="s">
        <v>968</v>
      </c>
    </row>
    <row r="144" spans="1:3">
      <c r="C144" t="s">
        <v>969</v>
      </c>
    </row>
    <row r="145" spans="2:4">
      <c r="C145" t="s">
        <v>970</v>
      </c>
    </row>
    <row r="146" spans="2:4">
      <c r="C146" t="s">
        <v>971</v>
      </c>
    </row>
    <row r="147" spans="2:4">
      <c r="C147" t="s">
        <v>972</v>
      </c>
    </row>
    <row r="149" spans="2:4">
      <c r="B149" t="s">
        <v>973</v>
      </c>
    </row>
    <row r="151" spans="2:4">
      <c r="B151" s="16" t="s">
        <v>974</v>
      </c>
    </row>
    <row r="152" spans="2:4">
      <c r="C152" t="s">
        <v>975</v>
      </c>
    </row>
    <row r="153" spans="2:4">
      <c r="D153" t="s">
        <v>976</v>
      </c>
    </row>
    <row r="154" spans="2:4">
      <c r="D154" t="s">
        <v>977</v>
      </c>
    </row>
    <row r="155" spans="2:4">
      <c r="D155" t="s">
        <v>978</v>
      </c>
    </row>
    <row r="157" spans="2:4">
      <c r="C157" t="s">
        <v>979</v>
      </c>
    </row>
    <row r="158" spans="2:4">
      <c r="D158" t="s">
        <v>980</v>
      </c>
    </row>
    <row r="159" spans="2:4">
      <c r="D159" t="s">
        <v>981</v>
      </c>
    </row>
    <row r="160" spans="2:4">
      <c r="D160" t="s">
        <v>982</v>
      </c>
    </row>
    <row r="162" spans="2:4">
      <c r="B162" s="16" t="s">
        <v>983</v>
      </c>
    </row>
    <row r="163" spans="2:4">
      <c r="C163" t="s">
        <v>984</v>
      </c>
    </row>
    <row r="164" spans="2:4">
      <c r="D164" t="s">
        <v>985</v>
      </c>
    </row>
    <row r="165" spans="2:4">
      <c r="D165" t="s">
        <v>986</v>
      </c>
    </row>
    <row r="166" spans="2:4">
      <c r="D166" t="s">
        <v>987</v>
      </c>
    </row>
    <row r="167" spans="2:4">
      <c r="D167" t="s">
        <v>988</v>
      </c>
    </row>
    <row r="169" spans="2:4">
      <c r="C169" t="s">
        <v>989</v>
      </c>
    </row>
    <row r="170" spans="2:4">
      <c r="D170" t="s">
        <v>990</v>
      </c>
    </row>
    <row r="171" spans="2:4">
      <c r="D171" t="s">
        <v>991</v>
      </c>
    </row>
    <row r="173" spans="2:4">
      <c r="B173" s="16" t="s">
        <v>992</v>
      </c>
    </row>
    <row r="174" spans="2:4">
      <c r="B174" s="16"/>
      <c r="C174" s="16" t="s">
        <v>995</v>
      </c>
    </row>
    <row r="175" spans="2:4">
      <c r="D175" t="s">
        <v>993</v>
      </c>
    </row>
    <row r="176" spans="2:4">
      <c r="D176" t="s">
        <v>994</v>
      </c>
    </row>
    <row r="178" spans="1:4">
      <c r="C178" s="16" t="s">
        <v>996</v>
      </c>
    </row>
    <row r="179" spans="1:4">
      <c r="D179" t="s">
        <v>997</v>
      </c>
    </row>
    <row r="180" spans="1:4">
      <c r="D180" t="s">
        <v>998</v>
      </c>
    </row>
    <row r="181" spans="1:4">
      <c r="D181" t="s">
        <v>999</v>
      </c>
    </row>
    <row r="183" spans="1:4">
      <c r="C183" s="16" t="s">
        <v>1001</v>
      </c>
    </row>
    <row r="184" spans="1:4">
      <c r="D184" t="s">
        <v>1000</v>
      </c>
    </row>
    <row r="185" spans="1:4">
      <c r="D185" t="s">
        <v>1002</v>
      </c>
    </row>
    <row r="187" spans="1:4">
      <c r="C187" s="16" t="s">
        <v>1003</v>
      </c>
    </row>
    <row r="188" spans="1:4">
      <c r="D188" t="s">
        <v>1004</v>
      </c>
    </row>
    <row r="189" spans="1:4">
      <c r="D189" t="s">
        <v>1005</v>
      </c>
    </row>
    <row r="190" spans="1:4">
      <c r="D190" t="s">
        <v>1006</v>
      </c>
    </row>
    <row r="192" spans="1:4">
      <c r="A192" s="16" t="s">
        <v>1012</v>
      </c>
    </row>
    <row r="194" spans="1:13">
      <c r="A194" s="16" t="s">
        <v>1013</v>
      </c>
    </row>
    <row r="195" spans="1:13">
      <c r="B195" s="2" t="s">
        <v>1014</v>
      </c>
      <c r="C195" s="5"/>
      <c r="D195" s="5"/>
      <c r="E195" s="5" t="s">
        <v>1015</v>
      </c>
      <c r="F195" s="5"/>
      <c r="G195" s="5"/>
      <c r="H195" s="6"/>
    </row>
    <row r="196" spans="1:13">
      <c r="B196" s="3" t="s">
        <v>1016</v>
      </c>
      <c r="C196" s="7"/>
      <c r="D196" s="7"/>
      <c r="E196" s="7" t="s">
        <v>1020</v>
      </c>
      <c r="F196" s="7"/>
      <c r="G196" s="7" t="s">
        <v>1017</v>
      </c>
      <c r="H196" s="8"/>
    </row>
    <row r="197" spans="1:13">
      <c r="B197" s="4"/>
      <c r="C197" s="10"/>
      <c r="D197" s="10"/>
      <c r="E197" s="10" t="s">
        <v>1020</v>
      </c>
      <c r="F197" s="10"/>
      <c r="G197" s="10" t="s">
        <v>1095</v>
      </c>
      <c r="H197" s="11"/>
    </row>
    <row r="198" spans="1:13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spans="1:13">
      <c r="A199" s="66" t="s">
        <v>1018</v>
      </c>
      <c r="B199" s="7"/>
      <c r="C199" s="7"/>
      <c r="D199" s="7"/>
      <c r="E199" s="7"/>
      <c r="F199" s="7"/>
      <c r="G199" s="7"/>
      <c r="H199" s="7"/>
      <c r="I199" s="7"/>
      <c r="J199" s="7"/>
    </row>
    <row r="200" spans="1:13">
      <c r="B200" s="2" t="s">
        <v>1020</v>
      </c>
      <c r="C200" s="5"/>
      <c r="D200" s="5"/>
      <c r="E200" s="5" t="s">
        <v>1019</v>
      </c>
      <c r="F200" s="5"/>
      <c r="G200" s="5"/>
      <c r="H200" s="6"/>
    </row>
    <row r="201" spans="1:13">
      <c r="B201" s="4" t="s">
        <v>1021</v>
      </c>
      <c r="C201" s="10"/>
      <c r="D201" s="10"/>
      <c r="E201" s="10" t="s">
        <v>1022</v>
      </c>
      <c r="F201" s="10"/>
      <c r="G201" s="10"/>
      <c r="H201" s="11"/>
      <c r="L201">
        <v>0.25</v>
      </c>
    </row>
    <row r="202" spans="1:13">
      <c r="L202">
        <v>100</v>
      </c>
    </row>
    <row r="203" spans="1:13">
      <c r="A203" s="16" t="s">
        <v>1025</v>
      </c>
    </row>
    <row r="204" spans="1:13">
      <c r="B204" s="2" t="s">
        <v>1023</v>
      </c>
      <c r="C204" s="5"/>
      <c r="D204" s="5"/>
      <c r="E204" s="5"/>
      <c r="F204" s="5"/>
      <c r="G204" s="5"/>
      <c r="H204" s="6"/>
      <c r="K204">
        <v>10000</v>
      </c>
      <c r="L204">
        <f>L201/L202</f>
        <v>2.5000000000000001E-3</v>
      </c>
      <c r="M204">
        <f>K204*L204</f>
        <v>25</v>
      </c>
    </row>
    <row r="205" spans="1:13">
      <c r="B205" s="3"/>
      <c r="C205" s="7"/>
      <c r="D205" s="7"/>
      <c r="E205" s="7" t="s">
        <v>1024</v>
      </c>
      <c r="F205" s="7"/>
      <c r="G205" s="7"/>
      <c r="H205" s="8"/>
    </row>
    <row r="206" spans="1:13">
      <c r="B206" s="4"/>
      <c r="C206" s="10"/>
      <c r="D206" s="10"/>
      <c r="E206" s="10">
        <v>25</v>
      </c>
      <c r="F206" s="10" t="s">
        <v>1096</v>
      </c>
      <c r="G206" s="10"/>
      <c r="H206" s="11"/>
      <c r="J206" t="s">
        <v>1097</v>
      </c>
    </row>
    <row r="208" spans="1:13">
      <c r="A208" s="16" t="s">
        <v>1026</v>
      </c>
    </row>
    <row r="209" spans="1:13">
      <c r="B209" s="2" t="s">
        <v>1028</v>
      </c>
      <c r="C209" s="5"/>
      <c r="D209" s="5"/>
      <c r="E209" s="5"/>
      <c r="F209" s="5"/>
      <c r="G209" s="5"/>
      <c r="H209" s="6"/>
      <c r="J209" t="s">
        <v>1098</v>
      </c>
    </row>
    <row r="210" spans="1:13">
      <c r="B210" s="4"/>
      <c r="C210" s="10"/>
      <c r="D210" s="10"/>
      <c r="E210" s="10" t="s">
        <v>1027</v>
      </c>
      <c r="F210" s="10"/>
      <c r="G210" s="10"/>
      <c r="H210" s="11"/>
      <c r="L210">
        <v>0.75</v>
      </c>
    </row>
    <row r="211" spans="1:13">
      <c r="B211" s="7"/>
      <c r="C211" s="7"/>
      <c r="D211" s="7"/>
      <c r="E211" s="7"/>
      <c r="F211" s="7"/>
      <c r="G211" s="7"/>
      <c r="H211" s="7"/>
      <c r="L211">
        <v>100</v>
      </c>
    </row>
    <row r="212" spans="1:13">
      <c r="B212" s="2" t="s">
        <v>1029</v>
      </c>
      <c r="C212" s="5"/>
      <c r="D212" s="5"/>
      <c r="E212" s="5"/>
      <c r="F212" s="5"/>
      <c r="G212" s="5"/>
      <c r="H212" s="6"/>
      <c r="K212">
        <v>10000</v>
      </c>
      <c r="L212">
        <f>L210/L211</f>
        <v>7.4999999999999997E-3</v>
      </c>
      <c r="M212">
        <f>K212*L212</f>
        <v>75</v>
      </c>
    </row>
    <row r="213" spans="1:13">
      <c r="B213" s="3"/>
      <c r="C213" s="7" t="s">
        <v>1031</v>
      </c>
      <c r="D213" s="7"/>
      <c r="E213" s="7" t="s">
        <v>1027</v>
      </c>
      <c r="F213" s="7"/>
      <c r="G213" s="7"/>
      <c r="H213" s="8"/>
    </row>
    <row r="214" spans="1:13">
      <c r="B214" s="4"/>
      <c r="C214" s="10" t="s">
        <v>1030</v>
      </c>
      <c r="D214" s="10"/>
      <c r="E214" s="10" t="s">
        <v>1032</v>
      </c>
      <c r="F214" s="10"/>
      <c r="G214" s="10"/>
      <c r="H214" s="11"/>
    </row>
    <row r="216" spans="1:13">
      <c r="A216" s="16" t="s">
        <v>1058</v>
      </c>
    </row>
    <row r="218" spans="1:13">
      <c r="B218" s="48" t="s">
        <v>1033</v>
      </c>
      <c r="C218" s="5"/>
      <c r="D218" s="5"/>
      <c r="E218" s="5"/>
      <c r="F218" s="5"/>
      <c r="G218" s="5"/>
      <c r="H218" s="6"/>
    </row>
    <row r="219" spans="1:13">
      <c r="B219" s="3" t="s">
        <v>1034</v>
      </c>
      <c r="C219" s="7"/>
      <c r="D219" s="7"/>
      <c r="E219" s="7"/>
      <c r="F219" s="7"/>
      <c r="G219" s="7" t="s">
        <v>1035</v>
      </c>
      <c r="H219" s="8"/>
    </row>
    <row r="220" spans="1:13">
      <c r="B220" s="77" t="s">
        <v>1036</v>
      </c>
      <c r="C220" s="7"/>
      <c r="D220" s="7"/>
      <c r="E220" s="7"/>
      <c r="F220" s="7"/>
      <c r="G220" s="7"/>
      <c r="H220" s="8"/>
    </row>
    <row r="221" spans="1:13">
      <c r="B221" s="72" t="s">
        <v>1037</v>
      </c>
      <c r="C221" s="7"/>
      <c r="D221" s="7"/>
      <c r="E221" s="7"/>
      <c r="F221" s="7"/>
      <c r="G221" s="7" t="s">
        <v>1038</v>
      </c>
      <c r="H221" s="8"/>
    </row>
    <row r="222" spans="1:13">
      <c r="B222" s="3" t="s">
        <v>1039</v>
      </c>
      <c r="C222" s="7"/>
      <c r="D222" s="7"/>
      <c r="E222" s="7"/>
      <c r="F222" s="7" t="s">
        <v>134</v>
      </c>
      <c r="G222" s="7" t="s">
        <v>1040</v>
      </c>
      <c r="H222" s="8"/>
    </row>
    <row r="223" spans="1:13">
      <c r="B223" s="3" t="s">
        <v>1041</v>
      </c>
      <c r="C223" s="7"/>
      <c r="D223" s="7"/>
      <c r="E223" s="7"/>
      <c r="F223" s="7" t="s">
        <v>134</v>
      </c>
      <c r="G223" s="7" t="s">
        <v>1038</v>
      </c>
      <c r="H223" s="8"/>
    </row>
    <row r="224" spans="1:13">
      <c r="B224" s="3" t="s">
        <v>1042</v>
      </c>
      <c r="C224" s="7"/>
      <c r="D224" s="7"/>
      <c r="E224" s="7"/>
      <c r="F224" s="7"/>
      <c r="G224" s="7" t="s">
        <v>1043</v>
      </c>
      <c r="H224" s="8"/>
    </row>
    <row r="225" spans="2:11">
      <c r="B225" s="78" t="s">
        <v>1044</v>
      </c>
      <c r="C225" s="10"/>
      <c r="D225" s="10"/>
      <c r="E225" s="10"/>
      <c r="F225" s="10"/>
      <c r="G225" s="10" t="s">
        <v>1015</v>
      </c>
      <c r="H225" s="11"/>
    </row>
    <row r="227" spans="2:11">
      <c r="B227" s="48" t="s">
        <v>1045</v>
      </c>
      <c r="C227" s="5"/>
      <c r="D227" s="5"/>
      <c r="E227" s="5"/>
      <c r="F227" s="5"/>
      <c r="G227" s="5"/>
      <c r="H227" s="6"/>
    </row>
    <row r="228" spans="2:11">
      <c r="B228" s="77" t="s">
        <v>1046</v>
      </c>
      <c r="C228" s="7"/>
      <c r="D228" s="7"/>
      <c r="E228" s="7"/>
      <c r="F228" s="7"/>
      <c r="G228" s="7"/>
      <c r="H228" s="8"/>
    </row>
    <row r="229" spans="2:11">
      <c r="B229" s="72" t="s">
        <v>1047</v>
      </c>
      <c r="C229" s="7"/>
      <c r="D229" s="7"/>
      <c r="E229" s="7"/>
      <c r="F229" s="7"/>
      <c r="G229" s="7" t="s">
        <v>1048</v>
      </c>
      <c r="H229" s="8"/>
    </row>
    <row r="230" spans="2:11">
      <c r="B230" s="3" t="s">
        <v>1049</v>
      </c>
      <c r="C230" s="7"/>
      <c r="D230" s="7"/>
      <c r="E230" s="7"/>
      <c r="F230" s="7"/>
      <c r="G230" s="7" t="s">
        <v>1048</v>
      </c>
      <c r="H230" s="8"/>
    </row>
    <row r="231" spans="2:11">
      <c r="B231" s="3" t="s">
        <v>1039</v>
      </c>
      <c r="C231" s="7"/>
      <c r="D231" s="7"/>
      <c r="E231" s="7"/>
      <c r="F231" s="7" t="s">
        <v>134</v>
      </c>
      <c r="G231" s="7" t="s">
        <v>1015</v>
      </c>
      <c r="H231" s="8"/>
    </row>
    <row r="232" spans="2:11">
      <c r="B232" s="3" t="s">
        <v>1041</v>
      </c>
      <c r="C232" s="7"/>
      <c r="D232" s="7"/>
      <c r="E232" s="7"/>
      <c r="F232" s="7" t="s">
        <v>134</v>
      </c>
      <c r="G232" s="7" t="s">
        <v>1048</v>
      </c>
      <c r="H232" s="8"/>
    </row>
    <row r="233" spans="2:11">
      <c r="B233" s="3" t="s">
        <v>1050</v>
      </c>
      <c r="C233" s="7"/>
      <c r="D233" s="7"/>
      <c r="E233" s="7"/>
      <c r="F233" s="7"/>
      <c r="G233" s="7" t="s">
        <v>1051</v>
      </c>
      <c r="H233" s="8"/>
    </row>
    <row r="234" spans="2:11">
      <c r="B234" s="4" t="s">
        <v>1052</v>
      </c>
      <c r="C234" s="10"/>
      <c r="D234" s="10"/>
      <c r="E234" s="10"/>
      <c r="F234" s="10" t="s">
        <v>134</v>
      </c>
      <c r="G234" s="10" t="s">
        <v>1053</v>
      </c>
      <c r="H234" s="11"/>
    </row>
    <row r="236" spans="2:11">
      <c r="B236" s="48" t="s">
        <v>1054</v>
      </c>
      <c r="C236" s="5"/>
      <c r="D236" s="5"/>
      <c r="E236" s="5"/>
      <c r="F236" s="5"/>
      <c r="G236" s="5"/>
      <c r="H236" s="6"/>
    </row>
    <row r="237" spans="2:11">
      <c r="B237" s="72" t="s">
        <v>1047</v>
      </c>
      <c r="C237" s="7"/>
      <c r="D237" s="7"/>
      <c r="E237" s="7"/>
      <c r="F237" s="7"/>
      <c r="G237" s="7" t="s">
        <v>1055</v>
      </c>
      <c r="H237" s="8"/>
    </row>
    <row r="238" spans="2:11">
      <c r="B238" s="4" t="s">
        <v>1056</v>
      </c>
      <c r="C238" s="10"/>
      <c r="D238" s="10"/>
      <c r="E238" s="10"/>
      <c r="F238" s="10"/>
      <c r="G238" s="10" t="s">
        <v>1057</v>
      </c>
      <c r="H238" s="11"/>
    </row>
    <row r="240" spans="2:11">
      <c r="B240" s="48" t="s">
        <v>1059</v>
      </c>
      <c r="C240" s="5"/>
      <c r="D240" s="5"/>
      <c r="E240" s="5"/>
      <c r="F240" s="5"/>
      <c r="G240" s="5"/>
      <c r="H240" s="6"/>
      <c r="K240" s="25"/>
    </row>
    <row r="241" spans="2:8">
      <c r="B241" s="3" t="s">
        <v>1060</v>
      </c>
      <c r="C241" s="7"/>
      <c r="D241" s="7"/>
      <c r="E241" s="7"/>
      <c r="F241" s="7"/>
      <c r="G241" s="7" t="s">
        <v>1015</v>
      </c>
      <c r="H241" s="8"/>
    </row>
    <row r="242" spans="2:8">
      <c r="B242" s="73" t="s">
        <v>1061</v>
      </c>
      <c r="C242" s="10"/>
      <c r="D242" s="10"/>
      <c r="E242" s="10"/>
      <c r="F242" s="10"/>
      <c r="G242" s="10" t="s">
        <v>1015</v>
      </c>
      <c r="H242" s="11"/>
    </row>
    <row r="244" spans="2:8">
      <c r="B244" s="48" t="s">
        <v>1062</v>
      </c>
      <c r="C244" s="5"/>
      <c r="D244" s="5"/>
      <c r="E244" s="5"/>
      <c r="F244" s="5"/>
      <c r="G244" s="5"/>
      <c r="H244" s="6"/>
    </row>
    <row r="245" spans="2:8">
      <c r="B245" s="4" t="s">
        <v>1063</v>
      </c>
      <c r="C245" s="10"/>
      <c r="D245" s="10"/>
      <c r="E245" s="10"/>
      <c r="F245" s="10" t="s">
        <v>134</v>
      </c>
      <c r="G245" s="10" t="s">
        <v>1064</v>
      </c>
      <c r="H245" s="11"/>
    </row>
    <row r="247" spans="2:8">
      <c r="B247" s="48" t="s">
        <v>1065</v>
      </c>
      <c r="C247" s="5"/>
      <c r="D247" s="5"/>
      <c r="E247" s="5"/>
      <c r="F247" s="5"/>
      <c r="G247" s="5"/>
      <c r="H247" s="6"/>
    </row>
    <row r="248" spans="2:8">
      <c r="B248" s="4" t="s">
        <v>1066</v>
      </c>
      <c r="C248" s="10"/>
      <c r="D248" s="10"/>
      <c r="E248" s="10"/>
      <c r="F248" s="10"/>
      <c r="G248" s="10" t="s">
        <v>1015</v>
      </c>
      <c r="H248" s="11"/>
    </row>
    <row r="250" spans="2:8">
      <c r="B250" s="48" t="s">
        <v>1067</v>
      </c>
      <c r="C250" s="5"/>
      <c r="D250" s="5"/>
      <c r="E250" s="5"/>
      <c r="F250" s="5"/>
      <c r="G250" s="5"/>
      <c r="H250" s="6"/>
    </row>
    <row r="251" spans="2:8">
      <c r="B251" s="4" t="s">
        <v>1068</v>
      </c>
      <c r="C251" s="10"/>
      <c r="D251" s="10"/>
      <c r="E251" s="10"/>
      <c r="F251" s="10"/>
      <c r="G251" s="10" t="s">
        <v>1015</v>
      </c>
      <c r="H251" s="11"/>
    </row>
    <row r="254" spans="2:8">
      <c r="B254" s="16" t="s">
        <v>1069</v>
      </c>
    </row>
    <row r="256" spans="2:8">
      <c r="B256" s="48" t="s">
        <v>1070</v>
      </c>
      <c r="C256" s="5"/>
      <c r="D256" s="5"/>
      <c r="E256" s="5"/>
      <c r="F256" s="5"/>
      <c r="G256" s="5"/>
      <c r="H256" s="6"/>
    </row>
    <row r="257" spans="1:10">
      <c r="B257" s="3" t="s">
        <v>1071</v>
      </c>
      <c r="C257" s="7"/>
      <c r="D257" s="7"/>
      <c r="E257" s="7"/>
      <c r="F257" s="7"/>
      <c r="G257" s="7"/>
      <c r="H257" s="8" t="s">
        <v>1015</v>
      </c>
    </row>
    <row r="258" spans="1:10">
      <c r="B258" s="4" t="s">
        <v>1072</v>
      </c>
      <c r="C258" s="10"/>
      <c r="D258" s="10"/>
      <c r="E258" s="10"/>
      <c r="F258" s="10"/>
      <c r="G258" s="10"/>
      <c r="H258" s="11" t="s">
        <v>1064</v>
      </c>
    </row>
    <row r="260" spans="1:10">
      <c r="B260" s="48" t="s">
        <v>1058</v>
      </c>
      <c r="C260" s="5"/>
      <c r="D260" s="5"/>
      <c r="E260" s="5"/>
      <c r="F260" s="5"/>
      <c r="G260" s="5"/>
      <c r="H260" s="6"/>
    </row>
    <row r="261" spans="1:10">
      <c r="B261" s="3" t="s">
        <v>1075</v>
      </c>
      <c r="C261" s="7"/>
      <c r="D261" s="7"/>
      <c r="E261" s="7"/>
      <c r="F261" s="7"/>
      <c r="G261" s="7"/>
      <c r="H261" s="8"/>
    </row>
    <row r="262" spans="1:10">
      <c r="B262" s="3" t="s">
        <v>1076</v>
      </c>
      <c r="C262" s="7"/>
      <c r="D262" s="7"/>
      <c r="E262" s="7"/>
      <c r="F262" s="7"/>
      <c r="G262" s="7"/>
      <c r="H262" s="8" t="s">
        <v>1015</v>
      </c>
    </row>
    <row r="263" spans="1:10">
      <c r="B263" s="3" t="s">
        <v>1077</v>
      </c>
      <c r="C263" s="7"/>
      <c r="D263" s="7"/>
      <c r="E263" s="7"/>
      <c r="F263" s="7"/>
      <c r="G263" s="7"/>
      <c r="H263" s="8" t="s">
        <v>1064</v>
      </c>
    </row>
    <row r="264" spans="1:10">
      <c r="B264" s="80" t="s">
        <v>1073</v>
      </c>
      <c r="C264" s="10"/>
      <c r="D264" s="10"/>
      <c r="E264" s="10"/>
      <c r="F264" s="10"/>
      <c r="G264" s="10"/>
      <c r="H264" s="11" t="s">
        <v>1074</v>
      </c>
      <c r="J264" s="79" t="s">
        <v>1094</v>
      </c>
    </row>
    <row r="267" spans="1:10">
      <c r="A267" s="16" t="s">
        <v>1078</v>
      </c>
    </row>
    <row r="269" spans="1:10">
      <c r="B269" t="s">
        <v>1079</v>
      </c>
      <c r="H269" t="s">
        <v>1015</v>
      </c>
    </row>
    <row r="270" spans="1:10">
      <c r="B270" t="s">
        <v>1080</v>
      </c>
      <c r="H270" t="s">
        <v>1015</v>
      </c>
    </row>
    <row r="271" spans="1:10">
      <c r="B271" t="s">
        <v>1081</v>
      </c>
      <c r="G271" t="s">
        <v>134</v>
      </c>
      <c r="H271" t="s">
        <v>1015</v>
      </c>
    </row>
    <row r="272" spans="1:10">
      <c r="B272" t="s">
        <v>1082</v>
      </c>
      <c r="G272" t="s">
        <v>134</v>
      </c>
      <c r="H272" t="s">
        <v>1015</v>
      </c>
    </row>
    <row r="274" spans="1:10">
      <c r="A274" s="16" t="s">
        <v>1083</v>
      </c>
    </row>
    <row r="275" spans="1:10">
      <c r="A275" s="16"/>
      <c r="B275" s="16" t="s">
        <v>1089</v>
      </c>
    </row>
    <row r="276" spans="1:10">
      <c r="B276" t="s">
        <v>1084</v>
      </c>
      <c r="H276" t="s">
        <v>1085</v>
      </c>
      <c r="J276" s="25" t="s">
        <v>1086</v>
      </c>
    </row>
    <row r="277" spans="1:10">
      <c r="B277" t="s">
        <v>1087</v>
      </c>
      <c r="H277" t="s">
        <v>1043</v>
      </c>
    </row>
    <row r="279" spans="1:10">
      <c r="B279" s="16" t="s">
        <v>1088</v>
      </c>
    </row>
    <row r="280" spans="1:10">
      <c r="B280" t="s">
        <v>1090</v>
      </c>
      <c r="H280" t="s">
        <v>1074</v>
      </c>
    </row>
    <row r="281" spans="1:10">
      <c r="B281" t="s">
        <v>1091</v>
      </c>
      <c r="H281" t="s">
        <v>1092</v>
      </c>
    </row>
    <row r="283" spans="1:10">
      <c r="B283" s="22" t="s">
        <v>1093</v>
      </c>
      <c r="H283" t="s">
        <v>1015</v>
      </c>
    </row>
    <row r="285" spans="1:10">
      <c r="A285" s="16"/>
    </row>
    <row r="286" spans="1:10">
      <c r="A286" s="16" t="s">
        <v>1099</v>
      </c>
    </row>
    <row r="287" spans="1:10">
      <c r="B287" s="25" t="s">
        <v>1100</v>
      </c>
    </row>
    <row r="288" spans="1:10">
      <c r="C288" s="25"/>
    </row>
    <row r="289" spans="2:2">
      <c r="B289" t="s">
        <v>1107</v>
      </c>
    </row>
    <row r="290" spans="2:2">
      <c r="B290" t="s">
        <v>1108</v>
      </c>
    </row>
    <row r="291" spans="2:2">
      <c r="B291" t="s">
        <v>1109</v>
      </c>
    </row>
    <row r="292" spans="2:2">
      <c r="B292" t="s">
        <v>1110</v>
      </c>
    </row>
    <row r="295" spans="2:2">
      <c r="B295" s="16" t="s">
        <v>1111</v>
      </c>
    </row>
    <row r="296" spans="2:2">
      <c r="B296" t="s">
        <v>1112</v>
      </c>
    </row>
    <row r="297" spans="2:2">
      <c r="B297" t="s">
        <v>1113</v>
      </c>
    </row>
    <row r="298" spans="2:2">
      <c r="B298" t="s">
        <v>1114</v>
      </c>
    </row>
    <row r="299" spans="2:2">
      <c r="B299" t="s">
        <v>1115</v>
      </c>
    </row>
    <row r="300" spans="2:2">
      <c r="B300" t="s">
        <v>1116</v>
      </c>
    </row>
    <row r="301" spans="2:2">
      <c r="B301" t="s">
        <v>1117</v>
      </c>
    </row>
    <row r="304" spans="2:2">
      <c r="B304" t="s">
        <v>1118</v>
      </c>
    </row>
    <row r="305" spans="2:2">
      <c r="B305" t="s">
        <v>1119</v>
      </c>
    </row>
    <row r="306" spans="2:2">
      <c r="B306" t="s">
        <v>1120</v>
      </c>
    </row>
    <row r="307" spans="2:2">
      <c r="B307" t="s">
        <v>1121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6"/>
  <sheetViews>
    <sheetView topLeftCell="A19" zoomScale="160" zoomScaleNormal="160" workbookViewId="0">
      <selection activeCell="D7" sqref="D7"/>
    </sheetView>
  </sheetViews>
  <sheetFormatPr defaultRowHeight="14.4"/>
  <sheetData>
    <row r="2" spans="1:3">
      <c r="A2" s="16" t="s">
        <v>675</v>
      </c>
    </row>
    <row r="4" spans="1:3">
      <c r="B4" t="s">
        <v>676</v>
      </c>
    </row>
    <row r="5" spans="1:3">
      <c r="C5" t="s">
        <v>677</v>
      </c>
    </row>
    <row r="6" spans="1:3">
      <c r="C6" t="s">
        <v>678</v>
      </c>
    </row>
    <row r="7" spans="1:3">
      <c r="C7" t="s">
        <v>679</v>
      </c>
    </row>
    <row r="9" spans="1:3">
      <c r="C9" t="s">
        <v>680</v>
      </c>
    </row>
    <row r="11" spans="1:3">
      <c r="B11" t="s">
        <v>681</v>
      </c>
    </row>
    <row r="12" spans="1:3">
      <c r="C12" t="s">
        <v>682</v>
      </c>
    </row>
    <row r="13" spans="1:3">
      <c r="C13" t="s">
        <v>683</v>
      </c>
    </row>
    <row r="14" spans="1:3">
      <c r="C14" t="s">
        <v>684</v>
      </c>
    </row>
    <row r="15" spans="1:3">
      <c r="C15" t="s">
        <v>685</v>
      </c>
    </row>
    <row r="17" spans="2:3">
      <c r="C17" t="s">
        <v>686</v>
      </c>
    </row>
    <row r="19" spans="2:3">
      <c r="B19" t="s">
        <v>687</v>
      </c>
    </row>
    <row r="20" spans="2:3">
      <c r="C20" t="s">
        <v>688</v>
      </c>
    </row>
    <row r="21" spans="2:3">
      <c r="C21" t="s">
        <v>689</v>
      </c>
    </row>
    <row r="22" spans="2:3">
      <c r="C22" t="s">
        <v>690</v>
      </c>
    </row>
    <row r="24" spans="2:3">
      <c r="B24" t="s">
        <v>691</v>
      </c>
    </row>
    <row r="25" spans="2:3">
      <c r="C25" t="s">
        <v>692</v>
      </c>
    </row>
    <row r="26" spans="2:3">
      <c r="C26" t="s">
        <v>693</v>
      </c>
    </row>
    <row r="27" spans="2:3">
      <c r="C27" t="s">
        <v>694</v>
      </c>
    </row>
    <row r="29" spans="2:3">
      <c r="B29" t="s">
        <v>695</v>
      </c>
    </row>
    <row r="30" spans="2:3">
      <c r="C30" t="s">
        <v>696</v>
      </c>
    </row>
    <row r="31" spans="2:3">
      <c r="C31" t="s">
        <v>697</v>
      </c>
    </row>
    <row r="32" spans="2:3">
      <c r="C32" t="s">
        <v>698</v>
      </c>
    </row>
    <row r="33" spans="3:3">
      <c r="C33" t="s">
        <v>699</v>
      </c>
    </row>
    <row r="34" spans="3:3">
      <c r="C34" t="s">
        <v>700</v>
      </c>
    </row>
    <row r="36" spans="3:3">
      <c r="C36" t="s">
        <v>701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F14"/>
  <sheetViews>
    <sheetView zoomScale="160" zoomScaleNormal="160" workbookViewId="0">
      <selection activeCell="G8" sqref="G8"/>
    </sheetView>
  </sheetViews>
  <sheetFormatPr defaultRowHeight="14.4"/>
  <sheetData>
    <row r="2" spans="1:6">
      <c r="A2" s="16" t="s">
        <v>787</v>
      </c>
    </row>
    <row r="3" spans="1:6">
      <c r="E3" s="18"/>
      <c r="F3" s="18" t="s">
        <v>1101</v>
      </c>
    </row>
    <row r="4" spans="1:6">
      <c r="A4">
        <v>1</v>
      </c>
      <c r="B4" t="s">
        <v>777</v>
      </c>
      <c r="F4">
        <v>20</v>
      </c>
    </row>
    <row r="5" spans="1:6">
      <c r="A5">
        <v>2</v>
      </c>
      <c r="B5" t="s">
        <v>778</v>
      </c>
      <c r="F5">
        <v>40</v>
      </c>
    </row>
    <row r="6" spans="1:6">
      <c r="A6">
        <v>3</v>
      </c>
      <c r="B6" t="s">
        <v>779</v>
      </c>
      <c r="F6">
        <v>50</v>
      </c>
    </row>
    <row r="8" spans="1:6">
      <c r="A8">
        <v>1</v>
      </c>
      <c r="B8" t="s">
        <v>780</v>
      </c>
      <c r="F8">
        <v>100</v>
      </c>
    </row>
    <row r="9" spans="1:6">
      <c r="A9">
        <v>2</v>
      </c>
      <c r="B9" t="s">
        <v>781</v>
      </c>
      <c r="F9">
        <v>20</v>
      </c>
    </row>
    <row r="10" spans="1:6">
      <c r="A10">
        <v>3</v>
      </c>
      <c r="B10" t="s">
        <v>782</v>
      </c>
      <c r="F10">
        <v>8</v>
      </c>
    </row>
    <row r="11" spans="1:6">
      <c r="A11">
        <v>4</v>
      </c>
      <c r="B11" t="s">
        <v>785</v>
      </c>
      <c r="F11">
        <v>4</v>
      </c>
    </row>
    <row r="12" spans="1:6">
      <c r="A12">
        <v>5</v>
      </c>
      <c r="B12" t="s">
        <v>786</v>
      </c>
      <c r="F12">
        <v>5</v>
      </c>
    </row>
    <row r="13" spans="1:6">
      <c r="A13">
        <v>6</v>
      </c>
      <c r="B13" t="s">
        <v>784</v>
      </c>
      <c r="F13">
        <v>5</v>
      </c>
    </row>
    <row r="14" spans="1:6">
      <c r="A14">
        <v>7</v>
      </c>
      <c r="B14" t="s">
        <v>783</v>
      </c>
      <c r="F14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5:K121"/>
  <sheetViews>
    <sheetView topLeftCell="A103" zoomScale="160" zoomScaleNormal="160" workbookViewId="0">
      <selection activeCell="E112" sqref="E112"/>
    </sheetView>
  </sheetViews>
  <sheetFormatPr defaultRowHeight="14.4"/>
  <cols>
    <col min="3" max="3" width="8.88671875" customWidth="1"/>
    <col min="5" max="5" width="22.33203125" customWidth="1"/>
  </cols>
  <sheetData>
    <row r="5" spans="2:7">
      <c r="E5" t="s">
        <v>261</v>
      </c>
      <c r="F5" t="s">
        <v>1192</v>
      </c>
    </row>
    <row r="6" spans="2:7">
      <c r="E6" s="84" t="s">
        <v>1195</v>
      </c>
      <c r="F6" t="s">
        <v>1193</v>
      </c>
    </row>
    <row r="7" spans="2:7">
      <c r="E7" t="s">
        <v>1196</v>
      </c>
      <c r="F7" t="s">
        <v>1194</v>
      </c>
    </row>
    <row r="8" spans="2:7">
      <c r="E8" t="s">
        <v>1197</v>
      </c>
    </row>
    <row r="14" spans="2:7">
      <c r="B14" s="75"/>
      <c r="C14" s="75"/>
      <c r="D14" s="75"/>
      <c r="E14" s="81"/>
      <c r="F14" s="5"/>
      <c r="G14" s="6"/>
    </row>
    <row r="15" spans="2:7">
      <c r="B15" s="75"/>
      <c r="C15" s="75"/>
      <c r="D15" s="75"/>
      <c r="E15" s="82"/>
      <c r="F15" s="7"/>
      <c r="G15" s="8"/>
    </row>
    <row r="16" spans="2:7">
      <c r="B16" s="75"/>
      <c r="C16" s="75"/>
      <c r="D16" s="75"/>
      <c r="E16" s="82"/>
      <c r="F16" s="7"/>
      <c r="G16" s="8"/>
    </row>
    <row r="17" spans="1:11">
      <c r="B17" s="75"/>
      <c r="C17" s="75"/>
      <c r="D17" s="75"/>
      <c r="E17" s="82"/>
      <c r="F17" s="7"/>
      <c r="G17" s="8"/>
    </row>
    <row r="18" spans="1:11">
      <c r="B18" s="75"/>
      <c r="C18" s="76"/>
      <c r="D18" s="75"/>
      <c r="E18" s="82"/>
      <c r="F18" s="7"/>
      <c r="G18" s="8"/>
    </row>
    <row r="19" spans="1:11">
      <c r="B19" s="75"/>
      <c r="C19" s="76"/>
      <c r="D19" s="75"/>
      <c r="E19" s="82"/>
      <c r="F19" s="7"/>
      <c r="G19" s="8"/>
    </row>
    <row r="20" spans="1:11">
      <c r="B20" s="75"/>
      <c r="C20" s="75"/>
      <c r="D20" s="75"/>
      <c r="E20" s="83"/>
      <c r="F20" s="10"/>
      <c r="G20" s="11"/>
    </row>
    <row r="21" spans="1:11">
      <c r="B21" s="75"/>
      <c r="C21" s="75"/>
      <c r="D21" s="75"/>
      <c r="E21" s="85"/>
      <c r="F21" s="7"/>
      <c r="G21" s="7"/>
    </row>
    <row r="22" spans="1:11">
      <c r="B22" s="75"/>
      <c r="C22" s="75"/>
      <c r="D22" s="75"/>
      <c r="E22" s="85"/>
      <c r="F22" s="7"/>
      <c r="G22" s="7"/>
    </row>
    <row r="23" spans="1:11">
      <c r="B23" s="75"/>
      <c r="C23" s="75"/>
      <c r="D23" s="75"/>
      <c r="E23" s="85"/>
      <c r="F23" s="7"/>
      <c r="G23" s="7"/>
    </row>
    <row r="24" spans="1:11">
      <c r="B24" s="75"/>
      <c r="C24" s="75"/>
      <c r="D24" s="75"/>
      <c r="E24" s="85"/>
      <c r="F24" s="7"/>
      <c r="G24" s="7"/>
    </row>
    <row r="25" spans="1:11">
      <c r="B25" s="75"/>
      <c r="C25" s="75"/>
      <c r="D25" s="75"/>
      <c r="E25" s="85"/>
      <c r="F25" s="7"/>
      <c r="G25" s="7"/>
    </row>
    <row r="26" spans="1:11">
      <c r="B26" s="75"/>
      <c r="C26" s="75"/>
      <c r="D26" s="75"/>
      <c r="E26" s="85"/>
      <c r="F26" s="7"/>
      <c r="G26" s="7"/>
    </row>
    <row r="27" spans="1:11">
      <c r="A27" s="12" t="s">
        <v>1198</v>
      </c>
      <c r="B27" s="75"/>
      <c r="C27" s="75"/>
      <c r="D27" s="75"/>
      <c r="E27" s="75"/>
    </row>
    <row r="28" spans="1:11">
      <c r="B28" t="s">
        <v>1166</v>
      </c>
      <c r="E28" t="s">
        <v>1167</v>
      </c>
      <c r="F28" t="s">
        <v>1168</v>
      </c>
      <c r="I28" t="s">
        <v>1169</v>
      </c>
      <c r="K28" t="s">
        <v>1170</v>
      </c>
    </row>
    <row r="30" spans="1:11">
      <c r="B30" t="s">
        <v>1199</v>
      </c>
    </row>
    <row r="31" spans="1:11">
      <c r="B31" s="24" t="s">
        <v>1191</v>
      </c>
    </row>
    <row r="32" spans="1:11">
      <c r="B32" t="s">
        <v>1175</v>
      </c>
    </row>
    <row r="33" spans="1:7">
      <c r="B33" t="s">
        <v>1200</v>
      </c>
    </row>
    <row r="35" spans="1:7">
      <c r="A35" s="12" t="s">
        <v>801</v>
      </c>
    </row>
    <row r="36" spans="1:7">
      <c r="B36" t="s">
        <v>503</v>
      </c>
    </row>
    <row r="38" spans="1:7">
      <c r="A38" s="16" t="s">
        <v>1159</v>
      </c>
      <c r="F38" s="16" t="s">
        <v>1154</v>
      </c>
    </row>
    <row r="39" spans="1:7">
      <c r="B39" t="s">
        <v>1149</v>
      </c>
      <c r="G39" t="s">
        <v>1264</v>
      </c>
    </row>
    <row r="40" spans="1:7">
      <c r="B40" t="s">
        <v>1150</v>
      </c>
      <c r="G40" t="s">
        <v>1155</v>
      </c>
    </row>
    <row r="41" spans="1:7">
      <c r="B41" t="s">
        <v>1153</v>
      </c>
      <c r="G41" t="s">
        <v>1156</v>
      </c>
    </row>
    <row r="42" spans="1:7">
      <c r="B42" t="s">
        <v>1151</v>
      </c>
      <c r="G42" t="s">
        <v>1157</v>
      </c>
    </row>
    <row r="43" spans="1:7">
      <c r="B43" t="s">
        <v>1152</v>
      </c>
      <c r="G43" t="s">
        <v>1158</v>
      </c>
    </row>
    <row r="45" spans="1:7">
      <c r="A45" s="12" t="s">
        <v>1160</v>
      </c>
    </row>
    <row r="46" spans="1:7">
      <c r="B46" t="s">
        <v>1161</v>
      </c>
    </row>
    <row r="48" spans="1:7">
      <c r="A48" s="12" t="s">
        <v>1162</v>
      </c>
    </row>
    <row r="49" spans="1:4">
      <c r="B49" t="s">
        <v>1163</v>
      </c>
    </row>
    <row r="50" spans="1:4">
      <c r="B50" t="s">
        <v>1164</v>
      </c>
    </row>
    <row r="51" spans="1:4">
      <c r="B51" t="s">
        <v>1165</v>
      </c>
    </row>
    <row r="53" spans="1:4">
      <c r="A53" s="16" t="s">
        <v>1146</v>
      </c>
    </row>
    <row r="54" spans="1:4">
      <c r="A54" s="16"/>
    </row>
    <row r="55" spans="1:4">
      <c r="A55" s="16"/>
      <c r="B55" s="16" t="s">
        <v>1147</v>
      </c>
      <c r="D55" s="16" t="s">
        <v>1148</v>
      </c>
    </row>
    <row r="56" spans="1:4">
      <c r="B56" t="s">
        <v>1124</v>
      </c>
      <c r="D56" t="s">
        <v>1125</v>
      </c>
    </row>
    <row r="57" spans="1:4">
      <c r="B57" t="s">
        <v>1126</v>
      </c>
      <c r="D57" t="s">
        <v>1127</v>
      </c>
    </row>
    <row r="58" spans="1:4">
      <c r="B58" t="s">
        <v>1128</v>
      </c>
      <c r="D58" t="s">
        <v>1129</v>
      </c>
    </row>
    <row r="59" spans="1:4">
      <c r="B59" t="s">
        <v>1130</v>
      </c>
      <c r="D59" t="s">
        <v>1131</v>
      </c>
    </row>
    <row r="60" spans="1:4">
      <c r="B60" t="s">
        <v>1132</v>
      </c>
      <c r="D60" t="s">
        <v>1133</v>
      </c>
    </row>
    <row r="61" spans="1:4">
      <c r="B61" t="s">
        <v>1134</v>
      </c>
      <c r="D61" t="s">
        <v>1135</v>
      </c>
    </row>
    <row r="62" spans="1:4">
      <c r="B62" t="s">
        <v>1136</v>
      </c>
      <c r="D62" t="s">
        <v>1137</v>
      </c>
    </row>
    <row r="63" spans="1:4">
      <c r="B63" t="s">
        <v>1138</v>
      </c>
      <c r="D63" t="s">
        <v>1139</v>
      </c>
    </row>
    <row r="64" spans="1:4">
      <c r="B64" t="s">
        <v>1140</v>
      </c>
      <c r="D64" t="s">
        <v>1141</v>
      </c>
    </row>
    <row r="65" spans="1:4">
      <c r="B65" t="s">
        <v>1142</v>
      </c>
      <c r="D65" t="s">
        <v>1143</v>
      </c>
    </row>
    <row r="66" spans="1:4">
      <c r="B66" t="s">
        <v>1144</v>
      </c>
      <c r="D66" t="s">
        <v>1145</v>
      </c>
    </row>
    <row r="68" spans="1:4">
      <c r="A68" s="16" t="s">
        <v>1007</v>
      </c>
    </row>
    <row r="69" spans="1:4">
      <c r="B69" t="s">
        <v>1008</v>
      </c>
    </row>
    <row r="70" spans="1:4">
      <c r="B70" t="s">
        <v>513</v>
      </c>
    </row>
    <row r="71" spans="1:4">
      <c r="B71" t="s">
        <v>1009</v>
      </c>
    </row>
    <row r="72" spans="1:4">
      <c r="B72" t="s">
        <v>1010</v>
      </c>
    </row>
    <row r="73" spans="1:4">
      <c r="B73" t="s">
        <v>1011</v>
      </c>
    </row>
    <row r="75" spans="1:4">
      <c r="A75" s="12" t="s">
        <v>1171</v>
      </c>
    </row>
    <row r="76" spans="1:4">
      <c r="B76" t="s">
        <v>1172</v>
      </c>
    </row>
    <row r="77" spans="1:4">
      <c r="B77" t="s">
        <v>1173</v>
      </c>
    </row>
    <row r="79" spans="1:4">
      <c r="B79" s="12" t="s">
        <v>1174</v>
      </c>
    </row>
    <row r="80" spans="1:4">
      <c r="C80" t="s">
        <v>1175</v>
      </c>
    </row>
    <row r="82" spans="2:4">
      <c r="C82" t="s">
        <v>1176</v>
      </c>
    </row>
    <row r="83" spans="2:4">
      <c r="C83" t="s">
        <v>1177</v>
      </c>
    </row>
    <row r="85" spans="2:4">
      <c r="C85" s="12" t="s">
        <v>1178</v>
      </c>
    </row>
    <row r="86" spans="2:4">
      <c r="D86" t="s">
        <v>1179</v>
      </c>
    </row>
    <row r="87" spans="2:4">
      <c r="D87" t="s">
        <v>1180</v>
      </c>
    </row>
    <row r="89" spans="2:4">
      <c r="B89" s="12" t="s">
        <v>1181</v>
      </c>
    </row>
    <row r="90" spans="2:4">
      <c r="C90" t="s">
        <v>1182</v>
      </c>
    </row>
    <row r="91" spans="2:4">
      <c r="D91" s="12" t="s">
        <v>1183</v>
      </c>
    </row>
    <row r="92" spans="2:4">
      <c r="D92" t="s">
        <v>1184</v>
      </c>
    </row>
    <row r="94" spans="2:4">
      <c r="C94" t="s">
        <v>1185</v>
      </c>
    </row>
    <row r="95" spans="2:4">
      <c r="D95" s="12" t="s">
        <v>457</v>
      </c>
    </row>
    <row r="96" spans="2:4">
      <c r="D96" t="s">
        <v>1186</v>
      </c>
    </row>
    <row r="98" spans="1:9">
      <c r="B98" s="12" t="s">
        <v>1187</v>
      </c>
    </row>
    <row r="99" spans="1:9">
      <c r="C99" t="s">
        <v>1188</v>
      </c>
    </row>
    <row r="100" spans="1:9">
      <c r="C100" t="s">
        <v>1189</v>
      </c>
    </row>
    <row r="101" spans="1:9">
      <c r="C101" t="s">
        <v>1190</v>
      </c>
    </row>
    <row r="104" spans="1:9">
      <c r="A104" s="16" t="s">
        <v>1266</v>
      </c>
    </row>
    <row r="105" spans="1:9">
      <c r="B105" t="s">
        <v>1267</v>
      </c>
      <c r="D105" t="s">
        <v>1268</v>
      </c>
    </row>
    <row r="106" spans="1:9">
      <c r="B106" t="s">
        <v>1269</v>
      </c>
      <c r="D106" t="s">
        <v>1270</v>
      </c>
    </row>
    <row r="107" spans="1:9">
      <c r="B107" t="s">
        <v>1271</v>
      </c>
      <c r="D107" t="s">
        <v>1270</v>
      </c>
    </row>
    <row r="110" spans="1:9">
      <c r="A110" s="16" t="s">
        <v>1534</v>
      </c>
    </row>
    <row r="111" spans="1:9">
      <c r="A111" s="16"/>
    </row>
    <row r="112" spans="1:9">
      <c r="B112">
        <v>0</v>
      </c>
      <c r="C112" t="s">
        <v>1535</v>
      </c>
      <c r="F112" t="s">
        <v>1537</v>
      </c>
      <c r="I112" t="s">
        <v>1536</v>
      </c>
    </row>
    <row r="113" spans="2:9">
      <c r="B113">
        <v>1</v>
      </c>
      <c r="C113" t="s">
        <v>1507</v>
      </c>
      <c r="F113" t="s">
        <v>1508</v>
      </c>
      <c r="I113" t="s">
        <v>1509</v>
      </c>
    </row>
    <row r="114" spans="2:9">
      <c r="B114">
        <v>2</v>
      </c>
      <c r="C114" t="s">
        <v>1510</v>
      </c>
      <c r="F114" t="s">
        <v>1511</v>
      </c>
      <c r="I114" t="s">
        <v>1512</v>
      </c>
    </row>
    <row r="115" spans="2:9">
      <c r="B115">
        <v>3</v>
      </c>
      <c r="C115" t="s">
        <v>1513</v>
      </c>
      <c r="F115" t="s">
        <v>1514</v>
      </c>
      <c r="I115" t="s">
        <v>1515</v>
      </c>
    </row>
    <row r="116" spans="2:9">
      <c r="B116">
        <v>4</v>
      </c>
      <c r="C116" t="s">
        <v>1516</v>
      </c>
      <c r="F116" t="s">
        <v>1517</v>
      </c>
      <c r="I116" t="s">
        <v>1518</v>
      </c>
    </row>
    <row r="117" spans="2:9">
      <c r="B117">
        <v>5</v>
      </c>
      <c r="C117" t="s">
        <v>1519</v>
      </c>
      <c r="F117" t="s">
        <v>1520</v>
      </c>
      <c r="I117" t="s">
        <v>1521</v>
      </c>
    </row>
    <row r="118" spans="2:9">
      <c r="B118">
        <v>6</v>
      </c>
      <c r="C118" t="s">
        <v>1522</v>
      </c>
      <c r="F118" t="s">
        <v>1523</v>
      </c>
      <c r="I118" t="s">
        <v>1524</v>
      </c>
    </row>
    <row r="119" spans="2:9">
      <c r="B119">
        <v>7</v>
      </c>
      <c r="C119" t="s">
        <v>1525</v>
      </c>
      <c r="F119" t="s">
        <v>1526</v>
      </c>
      <c r="I119" t="s">
        <v>1527</v>
      </c>
    </row>
    <row r="120" spans="2:9">
      <c r="B120">
        <v>8</v>
      </c>
      <c r="C120" t="s">
        <v>1528</v>
      </c>
      <c r="F120" t="s">
        <v>1529</v>
      </c>
      <c r="I120" t="s">
        <v>1530</v>
      </c>
    </row>
    <row r="121" spans="2:9">
      <c r="B121">
        <v>9</v>
      </c>
      <c r="C121" t="s">
        <v>1531</v>
      </c>
      <c r="F121" t="s">
        <v>1532</v>
      </c>
      <c r="I121" t="s">
        <v>1533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1"/>
  <sheetViews>
    <sheetView topLeftCell="A10" zoomScale="160" zoomScaleNormal="160" workbookViewId="0">
      <selection activeCell="A21" sqref="A21:F21"/>
    </sheetView>
  </sheetViews>
  <sheetFormatPr defaultRowHeight="14.4"/>
  <sheetData>
    <row r="1" spans="1:10">
      <c r="A1" s="16" t="s">
        <v>753</v>
      </c>
    </row>
    <row r="2" spans="1:10">
      <c r="A2" s="16"/>
    </row>
    <row r="3" spans="1:10">
      <c r="B3" s="61">
        <v>1</v>
      </c>
      <c r="C3" s="61" t="s">
        <v>748</v>
      </c>
    </row>
    <row r="4" spans="1:10">
      <c r="B4" s="61">
        <v>2</v>
      </c>
      <c r="C4" s="61" t="s">
        <v>749</v>
      </c>
    </row>
    <row r="5" spans="1:10">
      <c r="B5" s="61">
        <v>3</v>
      </c>
      <c r="C5" s="61" t="s">
        <v>750</v>
      </c>
    </row>
    <row r="6" spans="1:10">
      <c r="B6" s="61">
        <v>4</v>
      </c>
      <c r="C6" s="61" t="s">
        <v>751</v>
      </c>
    </row>
    <row r="7" spans="1:10">
      <c r="B7" s="29">
        <v>5</v>
      </c>
      <c r="C7" s="29" t="s">
        <v>752</v>
      </c>
    </row>
    <row r="8" spans="1:10">
      <c r="B8" s="61">
        <v>6</v>
      </c>
      <c r="C8" s="61" t="s">
        <v>754</v>
      </c>
    </row>
    <row r="9" spans="1:10">
      <c r="B9" s="61"/>
    </row>
    <row r="11" spans="1:10">
      <c r="B11" t="s">
        <v>755</v>
      </c>
      <c r="D11" s="62" t="s">
        <v>756</v>
      </c>
      <c r="F11" t="s">
        <v>757</v>
      </c>
      <c r="H11" t="s">
        <v>758</v>
      </c>
      <c r="J11" t="s">
        <v>759</v>
      </c>
    </row>
    <row r="12" spans="1:10">
      <c r="B12" t="s">
        <v>760</v>
      </c>
      <c r="C12" s="62"/>
      <c r="D12" s="62" t="s">
        <v>756</v>
      </c>
      <c r="F12" t="s">
        <v>757</v>
      </c>
      <c r="G12" s="63"/>
      <c r="H12" s="25" t="s">
        <v>761</v>
      </c>
      <c r="J12" t="s">
        <v>759</v>
      </c>
    </row>
    <row r="13" spans="1:10">
      <c r="B13" t="s">
        <v>762</v>
      </c>
      <c r="C13" s="62"/>
      <c r="D13" s="62" t="s">
        <v>756</v>
      </c>
      <c r="F13" t="s">
        <v>757</v>
      </c>
      <c r="G13" s="63"/>
      <c r="H13" t="s">
        <v>763</v>
      </c>
      <c r="J13" t="s">
        <v>764</v>
      </c>
    </row>
    <row r="14" spans="1:10">
      <c r="B14" t="s">
        <v>765</v>
      </c>
      <c r="C14" s="62"/>
      <c r="D14" s="62" t="s">
        <v>766</v>
      </c>
      <c r="F14" t="s">
        <v>767</v>
      </c>
      <c r="G14" s="63"/>
      <c r="H14" t="s">
        <v>768</v>
      </c>
      <c r="J14" t="s">
        <v>759</v>
      </c>
    </row>
    <row r="15" spans="1:10">
      <c r="B15" t="s">
        <v>769</v>
      </c>
      <c r="C15" s="62"/>
      <c r="D15" s="62" t="s">
        <v>770</v>
      </c>
      <c r="F15" t="s">
        <v>771</v>
      </c>
      <c r="G15" s="63"/>
      <c r="H15" s="25" t="s">
        <v>772</v>
      </c>
      <c r="J15" t="s">
        <v>764</v>
      </c>
    </row>
    <row r="16" spans="1:10">
      <c r="B16" t="s">
        <v>773</v>
      </c>
      <c r="C16" s="62"/>
      <c r="D16" s="62" t="s">
        <v>770</v>
      </c>
      <c r="F16" t="s">
        <v>771</v>
      </c>
      <c r="G16" s="63"/>
      <c r="H16" t="s">
        <v>774</v>
      </c>
      <c r="J16" t="s">
        <v>759</v>
      </c>
    </row>
    <row r="17" spans="2:10">
      <c r="B17" s="16" t="s">
        <v>775</v>
      </c>
      <c r="C17" s="16"/>
      <c r="D17" s="64" t="s">
        <v>766</v>
      </c>
      <c r="E17" s="16"/>
      <c r="F17" s="16" t="s">
        <v>767</v>
      </c>
      <c r="G17" s="16"/>
      <c r="H17" s="16" t="s">
        <v>776</v>
      </c>
      <c r="I17" s="16"/>
      <c r="J17" s="16" t="s">
        <v>759</v>
      </c>
    </row>
    <row r="21" spans="2:10">
      <c r="E21" s="53"/>
      <c r="F21" s="5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154"/>
  <sheetViews>
    <sheetView zoomScale="175" zoomScaleNormal="175" workbookViewId="0">
      <selection activeCell="D11" sqref="D11"/>
    </sheetView>
  </sheetViews>
  <sheetFormatPr defaultRowHeight="14.4"/>
  <sheetData>
    <row r="1" spans="1:8">
      <c r="A1" s="16" t="s">
        <v>1102</v>
      </c>
    </row>
    <row r="2" spans="1:8">
      <c r="A2" s="16"/>
    </row>
    <row r="3" spans="1:8">
      <c r="B3" s="16" t="s">
        <v>1104</v>
      </c>
      <c r="E3" s="16" t="s">
        <v>1103</v>
      </c>
      <c r="F3" s="16"/>
      <c r="H3" s="16" t="s">
        <v>511</v>
      </c>
    </row>
    <row r="4" spans="1:8">
      <c r="A4">
        <v>1</v>
      </c>
      <c r="B4" t="s">
        <v>1105</v>
      </c>
      <c r="H4" t="s">
        <v>1106</v>
      </c>
    </row>
    <row r="5" spans="1:8">
      <c r="A5">
        <v>2</v>
      </c>
      <c r="B5" t="s">
        <v>1122</v>
      </c>
      <c r="H5" t="s">
        <v>1123</v>
      </c>
    </row>
    <row r="6" spans="1:8">
      <c r="A6">
        <v>3</v>
      </c>
    </row>
    <row r="7" spans="1:8">
      <c r="A7">
        <v>4</v>
      </c>
    </row>
    <row r="8" spans="1:8">
      <c r="A8">
        <v>5</v>
      </c>
    </row>
    <row r="9" spans="1:8">
      <c r="A9">
        <v>6</v>
      </c>
    </row>
    <row r="100" spans="1:7">
      <c r="A100" s="16" t="s">
        <v>1224</v>
      </c>
    </row>
    <row r="101" spans="1:7">
      <c r="A101" s="16"/>
      <c r="B101" s="94" t="s">
        <v>1228</v>
      </c>
    </row>
    <row r="102" spans="1:7">
      <c r="A102" s="16"/>
      <c r="B102" t="s">
        <v>1215</v>
      </c>
    </row>
    <row r="103" spans="1:7">
      <c r="A103" s="16"/>
    </row>
    <row r="104" spans="1:7">
      <c r="A104">
        <v>1</v>
      </c>
      <c r="B104" s="93" t="s">
        <v>1216</v>
      </c>
    </row>
    <row r="105" spans="1:7">
      <c r="A105">
        <v>1</v>
      </c>
      <c r="B105" t="s">
        <v>1217</v>
      </c>
    </row>
    <row r="107" spans="1:7">
      <c r="A107">
        <v>2</v>
      </c>
      <c r="B107" t="s">
        <v>1218</v>
      </c>
    </row>
    <row r="108" spans="1:7">
      <c r="A108">
        <v>3</v>
      </c>
      <c r="B108" t="s">
        <v>1219</v>
      </c>
    </row>
    <row r="110" spans="1:7">
      <c r="A110" s="16" t="s">
        <v>1258</v>
      </c>
    </row>
    <row r="111" spans="1:7">
      <c r="A111" s="16"/>
      <c r="B111" s="16" t="s">
        <v>1257</v>
      </c>
      <c r="F111" s="16" t="s">
        <v>1259</v>
      </c>
    </row>
    <row r="112" spans="1:7">
      <c r="A112" s="16"/>
      <c r="C112" t="s">
        <v>1225</v>
      </c>
      <c r="G112" t="s">
        <v>1260</v>
      </c>
    </row>
    <row r="113" spans="1:7">
      <c r="A113" s="16"/>
      <c r="C113" t="s">
        <v>1226</v>
      </c>
      <c r="G113" t="s">
        <v>1261</v>
      </c>
    </row>
    <row r="114" spans="1:7">
      <c r="A114" s="16"/>
      <c r="C114" t="s">
        <v>1227</v>
      </c>
      <c r="G114" t="s">
        <v>1262</v>
      </c>
    </row>
    <row r="115" spans="1:7">
      <c r="A115" s="16"/>
      <c r="C115" t="s">
        <v>1230</v>
      </c>
      <c r="G115" t="s">
        <v>1263</v>
      </c>
    </row>
    <row r="116" spans="1:7">
      <c r="A116" s="16"/>
      <c r="C116" t="s">
        <v>1231</v>
      </c>
      <c r="G116" t="s">
        <v>1232</v>
      </c>
    </row>
    <row r="117" spans="1:7">
      <c r="A117" s="16"/>
    </row>
    <row r="118" spans="1:7">
      <c r="A118" s="16"/>
      <c r="C118" t="s">
        <v>1229</v>
      </c>
    </row>
    <row r="119" spans="1:7">
      <c r="A119" s="16"/>
    </row>
    <row r="120" spans="1:7">
      <c r="A120" s="16"/>
    </row>
    <row r="121" spans="1:7">
      <c r="A121" s="16" t="s">
        <v>1233</v>
      </c>
    </row>
    <row r="122" spans="1:7">
      <c r="A122" s="16"/>
    </row>
    <row r="123" spans="1:7">
      <c r="B123" t="s">
        <v>1220</v>
      </c>
    </row>
    <row r="124" spans="1:7">
      <c r="B124" t="s">
        <v>1221</v>
      </c>
    </row>
    <row r="125" spans="1:7">
      <c r="B125" t="s">
        <v>1222</v>
      </c>
    </row>
    <row r="126" spans="1:7">
      <c r="B126" t="s">
        <v>1223</v>
      </c>
    </row>
    <row r="128" spans="1:7">
      <c r="B128" t="s">
        <v>1234</v>
      </c>
    </row>
    <row r="129" spans="1:7">
      <c r="C129" s="22" t="s">
        <v>1235</v>
      </c>
    </row>
    <row r="131" spans="1:7">
      <c r="A131" s="16" t="s">
        <v>1236</v>
      </c>
    </row>
    <row r="132" spans="1:7">
      <c r="B132" t="s">
        <v>1237</v>
      </c>
    </row>
    <row r="133" spans="1:7">
      <c r="B133" t="s">
        <v>1238</v>
      </c>
    </row>
    <row r="134" spans="1:7">
      <c r="B134" t="s">
        <v>1239</v>
      </c>
    </row>
    <row r="135" spans="1:7">
      <c r="B135" t="s">
        <v>1240</v>
      </c>
    </row>
    <row r="136" spans="1:7">
      <c r="B136" t="s">
        <v>1241</v>
      </c>
    </row>
    <row r="138" spans="1:7">
      <c r="B138" t="s">
        <v>1242</v>
      </c>
    </row>
    <row r="140" spans="1:7">
      <c r="B140" t="s">
        <v>1243</v>
      </c>
    </row>
    <row r="141" spans="1:7">
      <c r="C141" t="s">
        <v>1244</v>
      </c>
      <c r="G141" t="s">
        <v>1248</v>
      </c>
    </row>
    <row r="142" spans="1:7">
      <c r="C142" t="s">
        <v>1245</v>
      </c>
      <c r="G142" t="s">
        <v>1249</v>
      </c>
    </row>
    <row r="143" spans="1:7">
      <c r="C143" t="s">
        <v>1246</v>
      </c>
      <c r="G143" t="s">
        <v>1250</v>
      </c>
    </row>
    <row r="145" spans="2:3">
      <c r="B145" t="s">
        <v>1251</v>
      </c>
    </row>
    <row r="147" spans="2:3">
      <c r="B147" s="22" t="s">
        <v>1247</v>
      </c>
    </row>
    <row r="149" spans="2:3">
      <c r="B149" s="16" t="s">
        <v>1252</v>
      </c>
    </row>
    <row r="150" spans="2:3">
      <c r="C150" t="s">
        <v>1253</v>
      </c>
    </row>
    <row r="151" spans="2:3">
      <c r="C151" t="s">
        <v>1254</v>
      </c>
    </row>
    <row r="152" spans="2:3">
      <c r="C152" s="22" t="s">
        <v>1255</v>
      </c>
    </row>
    <row r="154" spans="2:3">
      <c r="C154" t="s">
        <v>1256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2:K22"/>
  <sheetViews>
    <sheetView zoomScale="130" zoomScaleNormal="130" workbookViewId="0">
      <selection activeCell="E12" sqref="E12"/>
    </sheetView>
  </sheetViews>
  <sheetFormatPr defaultRowHeight="14.4"/>
  <sheetData>
    <row r="2" spans="1:11">
      <c r="A2" s="16" t="s">
        <v>1214</v>
      </c>
    </row>
    <row r="4" spans="1:11">
      <c r="B4" t="s">
        <v>1212</v>
      </c>
      <c r="D4" t="s">
        <v>1213</v>
      </c>
    </row>
    <row r="6" spans="1:11">
      <c r="B6" s="86" t="s">
        <v>1201</v>
      </c>
      <c r="D6" s="2" t="s">
        <v>1201</v>
      </c>
      <c r="E6" s="5"/>
      <c r="F6" s="5"/>
      <c r="G6" s="5"/>
      <c r="H6" s="5"/>
      <c r="I6" s="5"/>
      <c r="J6" s="5"/>
      <c r="K6" s="6"/>
    </row>
    <row r="7" spans="1:11">
      <c r="B7" s="87">
        <v>300000</v>
      </c>
      <c r="D7" s="88">
        <v>300000</v>
      </c>
      <c r="E7" s="7"/>
      <c r="F7" s="7"/>
      <c r="G7" s="7"/>
      <c r="H7" s="7"/>
      <c r="I7" s="7"/>
      <c r="J7" s="7"/>
      <c r="K7" s="8"/>
    </row>
    <row r="8" spans="1:11">
      <c r="B8" s="89"/>
      <c r="D8" s="3"/>
      <c r="E8" s="7"/>
      <c r="F8" s="7"/>
      <c r="G8" s="7"/>
      <c r="H8" s="7"/>
      <c r="I8" s="7"/>
      <c r="J8" s="7"/>
      <c r="K8" s="8"/>
    </row>
    <row r="9" spans="1:11">
      <c r="B9" s="89"/>
      <c r="D9" s="3"/>
      <c r="E9" s="7"/>
      <c r="F9" s="7"/>
      <c r="G9" s="7"/>
      <c r="H9" s="7"/>
      <c r="I9" s="7"/>
      <c r="J9" s="7"/>
      <c r="K9" s="8"/>
    </row>
    <row r="10" spans="1:11">
      <c r="B10" s="89" t="s">
        <v>1202</v>
      </c>
      <c r="D10" s="3" t="s">
        <v>1203</v>
      </c>
      <c r="E10" s="7"/>
      <c r="F10" s="7"/>
      <c r="G10" s="7"/>
      <c r="H10" s="7"/>
      <c r="I10" s="7"/>
      <c r="J10" s="7"/>
      <c r="K10" s="8"/>
    </row>
    <row r="11" spans="1:11">
      <c r="B11" s="89" t="s">
        <v>1204</v>
      </c>
      <c r="D11" s="3" t="s">
        <v>1204</v>
      </c>
      <c r="E11" s="7"/>
      <c r="F11" s="7"/>
      <c r="G11" s="7"/>
      <c r="H11" s="7"/>
      <c r="I11" s="7"/>
      <c r="J11" s="7"/>
      <c r="K11" s="8"/>
    </row>
    <row r="12" spans="1:11">
      <c r="B12" s="90" t="s">
        <v>1205</v>
      </c>
      <c r="D12" s="3" t="s">
        <v>1206</v>
      </c>
      <c r="E12" s="7"/>
      <c r="F12" s="7"/>
      <c r="G12" s="7"/>
      <c r="H12" s="7"/>
      <c r="I12" s="7"/>
      <c r="J12" s="7"/>
      <c r="K12" s="8"/>
    </row>
    <row r="13" spans="1:11">
      <c r="C13" s="62"/>
      <c r="D13" s="3" t="s">
        <v>1204</v>
      </c>
      <c r="E13" s="7"/>
      <c r="F13" s="7"/>
      <c r="G13" s="91"/>
      <c r="H13" s="7"/>
      <c r="I13" s="7"/>
      <c r="J13" s="7"/>
      <c r="K13" s="8"/>
    </row>
    <row r="14" spans="1:11">
      <c r="C14" s="62"/>
      <c r="D14" s="3" t="s">
        <v>1207</v>
      </c>
      <c r="E14" s="7"/>
      <c r="F14" s="7"/>
      <c r="G14" s="91"/>
      <c r="H14" s="7"/>
      <c r="I14" s="7"/>
      <c r="J14" s="7"/>
      <c r="K14" s="8"/>
    </row>
    <row r="15" spans="1:11">
      <c r="C15" s="62"/>
      <c r="D15" s="3" t="s">
        <v>1204</v>
      </c>
      <c r="E15" s="7"/>
      <c r="F15" s="7"/>
      <c r="G15" s="91"/>
      <c r="H15" s="7"/>
      <c r="I15" s="7"/>
      <c r="J15" s="7"/>
      <c r="K15" s="8"/>
    </row>
    <row r="16" spans="1:11">
      <c r="C16" s="62"/>
      <c r="D16" s="3" t="s">
        <v>1208</v>
      </c>
      <c r="E16" s="7"/>
      <c r="F16" s="7"/>
      <c r="G16" s="91"/>
      <c r="H16" s="7"/>
      <c r="I16" s="7"/>
      <c r="J16" s="7"/>
      <c r="K16" s="8"/>
    </row>
    <row r="17" spans="3:11">
      <c r="C17" s="62"/>
      <c r="D17" s="3" t="s">
        <v>1204</v>
      </c>
      <c r="E17" s="7"/>
      <c r="F17" s="7"/>
      <c r="G17" s="91"/>
      <c r="H17" s="7"/>
      <c r="I17" s="7"/>
      <c r="J17" s="7"/>
      <c r="K17" s="8"/>
    </row>
    <row r="18" spans="3:11">
      <c r="C18" s="62"/>
      <c r="D18" s="3" t="s">
        <v>1209</v>
      </c>
      <c r="E18" s="7"/>
      <c r="F18" s="7"/>
      <c r="G18" s="91"/>
      <c r="H18" s="7"/>
      <c r="I18" s="7"/>
      <c r="J18" s="7"/>
      <c r="K18" s="8"/>
    </row>
    <row r="19" spans="3:11">
      <c r="C19" s="62"/>
      <c r="D19" s="3" t="s">
        <v>1204</v>
      </c>
      <c r="E19" s="7"/>
      <c r="F19" s="7"/>
      <c r="G19" s="91"/>
      <c r="H19" s="7"/>
      <c r="I19" s="7"/>
      <c r="J19" s="7"/>
      <c r="K19" s="8"/>
    </row>
    <row r="20" spans="3:11">
      <c r="C20" s="62"/>
      <c r="D20" s="4" t="s">
        <v>1210</v>
      </c>
      <c r="E20" s="10"/>
      <c r="F20" s="10"/>
      <c r="G20" s="92"/>
      <c r="H20" s="10"/>
      <c r="I20" s="10"/>
      <c r="J20" s="10"/>
      <c r="K20" s="11"/>
    </row>
    <row r="21" spans="3:11">
      <c r="C21" s="62"/>
      <c r="G21" s="63"/>
    </row>
    <row r="22" spans="3:11">
      <c r="C22" t="s">
        <v>1211</v>
      </c>
      <c r="G22" s="6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2:J48"/>
  <sheetViews>
    <sheetView topLeftCell="A25" zoomScale="145" zoomScaleNormal="145" workbookViewId="0">
      <selection activeCell="E39" sqref="E39"/>
    </sheetView>
  </sheetViews>
  <sheetFormatPr defaultRowHeight="14.4"/>
  <cols>
    <col min="3" max="3" width="14.77734375" bestFit="1" customWidth="1"/>
    <col min="6" max="6" width="12.21875" customWidth="1"/>
    <col min="9" max="9" width="9.44140625" bestFit="1" customWidth="1"/>
  </cols>
  <sheetData>
    <row r="2" spans="1:8">
      <c r="A2" s="16" t="s">
        <v>1476</v>
      </c>
    </row>
    <row r="4" spans="1:8">
      <c r="B4" s="97" t="s">
        <v>1469</v>
      </c>
      <c r="D4" s="97" t="s">
        <v>1470</v>
      </c>
      <c r="F4" s="97" t="s">
        <v>1471</v>
      </c>
      <c r="H4" s="97" t="s">
        <v>1472</v>
      </c>
    </row>
    <row r="6" spans="1:8">
      <c r="C6" s="24" t="s">
        <v>1467</v>
      </c>
      <c r="G6" s="97" t="s">
        <v>1468</v>
      </c>
    </row>
    <row r="9" spans="1:8">
      <c r="D9" s="97" t="s">
        <v>1473</v>
      </c>
      <c r="F9" s="24" t="s">
        <v>1474</v>
      </c>
    </row>
    <row r="12" spans="1:8">
      <c r="D12" s="24" t="s">
        <v>1468</v>
      </c>
    </row>
    <row r="15" spans="1:8">
      <c r="A15" s="16" t="s">
        <v>1477</v>
      </c>
    </row>
    <row r="18" spans="1:10">
      <c r="B18" s="97" t="s">
        <v>1481</v>
      </c>
      <c r="D18" s="97" t="s">
        <v>1482</v>
      </c>
      <c r="F18" s="98" t="s">
        <v>1484</v>
      </c>
      <c r="H18" s="97" t="s">
        <v>1483</v>
      </c>
    </row>
    <row r="21" spans="1:10">
      <c r="C21" s="97" t="s">
        <v>1479</v>
      </c>
      <c r="G21" s="97" t="s">
        <v>1480</v>
      </c>
    </row>
    <row r="24" spans="1:10">
      <c r="D24" s="24" t="s">
        <v>1475</v>
      </c>
      <c r="F24" s="24" t="s">
        <v>1478</v>
      </c>
    </row>
    <row r="27" spans="1:10">
      <c r="D27" s="24" t="s">
        <v>1468</v>
      </c>
    </row>
    <row r="29" spans="1:10">
      <c r="A29" s="16" t="s">
        <v>1485</v>
      </c>
    </row>
    <row r="31" spans="1:10">
      <c r="B31" s="48" t="s">
        <v>1487</v>
      </c>
      <c r="C31" s="5"/>
      <c r="D31" s="5"/>
      <c r="E31" s="43" t="s">
        <v>1488</v>
      </c>
      <c r="F31" s="5"/>
      <c r="G31" s="5"/>
      <c r="H31" s="43" t="s">
        <v>1486</v>
      </c>
      <c r="I31" s="5"/>
      <c r="J31" s="6"/>
    </row>
    <row r="32" spans="1:10">
      <c r="B32" s="4"/>
      <c r="C32" s="99">
        <v>16507</v>
      </c>
      <c r="D32" s="10"/>
      <c r="E32" s="10"/>
      <c r="F32" s="102">
        <v>45554</v>
      </c>
      <c r="G32" s="10"/>
      <c r="H32" s="10"/>
      <c r="I32" s="99">
        <v>45556</v>
      </c>
      <c r="J32" s="11"/>
    </row>
    <row r="33" spans="2:8">
      <c r="F33" s="53"/>
    </row>
    <row r="35" spans="2:8">
      <c r="B35" s="48" t="s">
        <v>1489</v>
      </c>
      <c r="C35" s="6"/>
      <c r="E35" s="48" t="s">
        <v>1490</v>
      </c>
      <c r="F35" s="5"/>
      <c r="G35" s="5"/>
      <c r="H35" s="6"/>
    </row>
    <row r="36" spans="2:8">
      <c r="B36" s="4"/>
      <c r="C36" s="101">
        <f ca="1">TODAY()-F32</f>
        <v>627</v>
      </c>
      <c r="E36" s="4"/>
      <c r="F36" s="100" t="str">
        <f ca="1">DATEDIF(F32,TODAY(),"Y") &amp; " години, " &amp; DATEDIF(F32,TODAY(),"YM") &amp; " месеца, " &amp; DATEDIF(F32,TODAY(),"MD") &amp; " дни"</f>
        <v>1 години, 8 месеца, 19 дни</v>
      </c>
      <c r="G36" s="10"/>
      <c r="H36" s="11"/>
    </row>
    <row r="39" spans="2:8">
      <c r="B39" t="s">
        <v>1491</v>
      </c>
    </row>
    <row r="40" spans="2:8">
      <c r="B40" t="s">
        <v>1498</v>
      </c>
    </row>
    <row r="42" spans="2:8">
      <c r="B42" s="16" t="s">
        <v>1492</v>
      </c>
    </row>
    <row r="43" spans="2:8">
      <c r="C43" t="s">
        <v>1493</v>
      </c>
    </row>
    <row r="45" spans="2:8">
      <c r="C45" s="16" t="s">
        <v>1495</v>
      </c>
    </row>
    <row r="46" spans="2:8">
      <c r="D46" t="s">
        <v>1494</v>
      </c>
    </row>
    <row r="47" spans="2:8">
      <c r="D47" t="s">
        <v>1496</v>
      </c>
    </row>
    <row r="48" spans="2:8">
      <c r="D48" t="s">
        <v>1497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dimension ref="A2:B31"/>
  <sheetViews>
    <sheetView tabSelected="1" topLeftCell="A19" zoomScale="160" zoomScaleNormal="160" workbookViewId="0">
      <selection activeCell="L22" sqref="L22"/>
    </sheetView>
  </sheetViews>
  <sheetFormatPr defaultRowHeight="14.4"/>
  <sheetData>
    <row r="2" spans="1:2">
      <c r="A2" s="16" t="s">
        <v>1538</v>
      </c>
    </row>
    <row r="3" spans="1:2">
      <c r="A3" s="16" t="s">
        <v>1539</v>
      </c>
    </row>
    <row r="5" spans="1:2">
      <c r="B5" t="s">
        <v>1540</v>
      </c>
    </row>
    <row r="7" spans="1:2">
      <c r="B7" t="s">
        <v>1541</v>
      </c>
    </row>
    <row r="8" spans="1:2">
      <c r="B8" t="s">
        <v>1542</v>
      </c>
    </row>
    <row r="9" spans="1:2">
      <c r="B9" t="s">
        <v>1543</v>
      </c>
    </row>
    <row r="10" spans="1:2">
      <c r="B10" t="s">
        <v>1544</v>
      </c>
    </row>
    <row r="12" spans="1:2">
      <c r="B12" t="s">
        <v>1545</v>
      </c>
    </row>
    <row r="13" spans="1:2">
      <c r="B13" t="s">
        <v>1546</v>
      </c>
    </row>
    <row r="14" spans="1:2">
      <c r="B14" t="s">
        <v>1547</v>
      </c>
    </row>
    <row r="16" spans="1:2">
      <c r="B16" t="s">
        <v>1548</v>
      </c>
    </row>
    <row r="17" spans="1:2">
      <c r="B17" t="s">
        <v>1549</v>
      </c>
    </row>
    <row r="18" spans="1:2">
      <c r="B18" t="s">
        <v>1550</v>
      </c>
    </row>
    <row r="19" spans="1:2">
      <c r="B19" t="s">
        <v>1551</v>
      </c>
    </row>
    <row r="20" spans="1:2">
      <c r="B20" t="s">
        <v>1552</v>
      </c>
    </row>
    <row r="23" spans="1:2">
      <c r="B23" t="s">
        <v>1553</v>
      </c>
    </row>
    <row r="24" spans="1:2">
      <c r="B24" t="s">
        <v>1554</v>
      </c>
    </row>
    <row r="25" spans="1:2">
      <c r="B25" t="s">
        <v>1555</v>
      </c>
    </row>
    <row r="26" spans="1:2">
      <c r="B26" t="s">
        <v>1556</v>
      </c>
    </row>
    <row r="28" spans="1:2">
      <c r="B28" s="94" t="s">
        <v>1557</v>
      </c>
    </row>
    <row r="29" spans="1:2">
      <c r="B29" s="94" t="s">
        <v>1558</v>
      </c>
    </row>
    <row r="31" spans="1:2">
      <c r="A31" s="16" t="s">
        <v>1559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FC1129-B191-422E-9151-B66C578AFF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  <vt:lpstr>Свършени задачи</vt:lpstr>
      <vt:lpstr>Задачи</vt:lpstr>
      <vt:lpstr>Инвестиции</vt:lpstr>
      <vt:lpstr>Родословно дърво</vt:lpstr>
      <vt:lpstr>Sheet2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2026-06-08T11:28:45Z</dcterms:modified>
</cp:coreProperties>
</file>