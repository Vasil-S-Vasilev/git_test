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6"/>
  </bookViews>
  <sheets>
    <sheet name="Sheet1" sheetId="1" r:id="rId1"/>
    <sheet name="План" sheetId="2" r:id="rId2"/>
    <sheet name="kcal" sheetId="3" r:id="rId3"/>
    <sheet name="Примерни" sheetId="4" r:id="rId4"/>
    <sheet name="Изпити" sheetId="5" r:id="rId5"/>
    <sheet name="Електро цени" sheetId="6" r:id="rId6"/>
    <sheet name="Diagram" sheetId="7" r:id="rId7"/>
  </sheets>
  <calcPr calcId="124519"/>
</workbook>
</file>

<file path=xl/calcChain.xml><?xml version="1.0" encoding="utf-8"?>
<calcChain xmlns="http://schemas.openxmlformats.org/spreadsheetml/2006/main">
  <c r="E19" i="4"/>
  <c r="E20" s="1"/>
  <c r="F27" i="3"/>
  <c r="F26"/>
  <c r="F25"/>
  <c r="F24"/>
  <c r="F23"/>
  <c r="E18" i="4"/>
  <c r="E17"/>
  <c r="E16"/>
  <c r="E15"/>
  <c r="E14"/>
  <c r="F18" i="3"/>
  <c r="F17"/>
  <c r="F16"/>
  <c r="F15"/>
  <c r="F14"/>
  <c r="K9" i="4"/>
  <c r="E9"/>
  <c r="K8"/>
  <c r="E8"/>
  <c r="K7"/>
  <c r="E7"/>
  <c r="K6"/>
  <c r="E6"/>
  <c r="K5"/>
  <c r="E5"/>
  <c r="L18" i="3"/>
  <c r="L17"/>
  <c r="L16"/>
  <c r="L15"/>
  <c r="L14"/>
  <c r="E10" i="4" l="1"/>
  <c r="K10"/>
  <c r="F28" i="3"/>
  <c r="F19"/>
  <c r="L19"/>
</calcChain>
</file>

<file path=xl/sharedStrings.xml><?xml version="1.0" encoding="utf-8"?>
<sst xmlns="http://schemas.openxmlformats.org/spreadsheetml/2006/main" count="1171" uniqueCount="1039">
  <si>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</si>
  <si>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</si>
  <si>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</si>
  <si>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</si>
  <si>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</si>
  <si>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</si>
  <si>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</si>
  <si>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</si>
  <si>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</si>
  <si>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</si>
  <si>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</si>
  <si>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</si>
  <si>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</si>
  <si>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</si>
  <si>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</si>
  <si>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</si>
  <si>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</si>
  <si>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</si>
  <si>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</si>
  <si>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</si>
  <si>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</si>
  <si>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</si>
  <si>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</si>
  <si>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</si>
  <si>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</si>
  <si>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</si>
  <si>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</si>
  <si>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</si>
  <si>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</si>
  <si>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</si>
  <si>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</si>
  <si>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</si>
  <si>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</si>
  <si>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</si>
  <si>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</si>
  <si>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</si>
  <si>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</si>
  <si>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</si>
  <si>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</si>
  <si>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</si>
  <si>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</si>
  <si>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</si>
  <si>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</si>
  <si>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</si>
  <si>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</si>
  <si>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</si>
  <si>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</si>
  <si>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</si>
  <si>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</si>
  <si>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</si>
  <si>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</si>
  <si>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</si>
  <si>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</si>
  <si>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</si>
  <si>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</si>
  <si>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</si>
  <si>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</si>
  <si>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</si>
  <si>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</si>
  <si>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</si>
  <si>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</si>
  <si>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</si>
  <si>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</si>
  <si>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</si>
  <si>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</si>
  <si>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</si>
  <si>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</si>
  <si>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</si>
  <si>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</si>
  <si>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</si>
  <si>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</si>
  <si>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</si>
  <si>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</si>
  <si>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</si>
  <si>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</si>
  <si>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</si>
  <si>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</si>
  <si>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</si>
  <si>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</si>
  <si>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</si>
  <si>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</si>
  <si>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</si>
  <si>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</si>
  <si>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</si>
  <si>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</si>
  <si>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</si>
  <si>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</si>
  <si>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</si>
  <si>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</si>
  <si>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</si>
  <si>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</si>
  <si>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</si>
  <si>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</si>
  <si>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</si>
  <si>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</si>
  <si>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</si>
  <si>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</si>
  <si>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</si>
  <si>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</si>
  <si>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</si>
  <si>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</si>
  <si>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</si>
  <si>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</si>
  <si>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</si>
  <si>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</si>
  <si>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</si>
  <si>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</si>
  <si>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</si>
  <si>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</si>
  <si>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</si>
  <si>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</si>
  <si>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</si>
  <si>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</si>
  <si>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</si>
  <si>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</si>
  <si>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</si>
  <si>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</si>
  <si>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</si>
  <si>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</si>
  <si>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</si>
  <si>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</si>
  <si>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</si>
  <si>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</si>
  <si>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</si>
  <si>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</si>
  <si>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</si>
  <si>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</si>
  <si>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</si>
  <si>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</si>
  <si>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</si>
  <si>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</si>
  <si>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</si>
  <si>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</si>
  <si>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</si>
  <si>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</si>
  <si>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</si>
  <si>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</si>
  <si>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</si>
  <si>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</si>
  <si>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</si>
  <si>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</si>
  <si>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</si>
  <si>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</si>
  <si>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</si>
  <si>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</si>
  <si>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</si>
  <si>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</si>
  <si>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</si>
  <si>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</si>
  <si>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</si>
  <si>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</si>
  <si>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</si>
  <si>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</si>
  <si>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</si>
  <si>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</si>
  <si>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</si>
  <si>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</si>
  <si>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</si>
  <si>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</si>
  <si>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</si>
  <si>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</si>
  <si>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</si>
  <si>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</si>
  <si>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</si>
  <si>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</si>
  <si>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</si>
  <si>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</si>
  <si>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</si>
  <si>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</si>
  <si>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</si>
  <si>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</si>
  <si>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</si>
  <si>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</si>
  <si>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</si>
  <si>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</si>
  <si>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</si>
  <si>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</si>
  <si>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</si>
  <si>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</si>
  <si>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</si>
  <si>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</si>
  <si>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</si>
  <si>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</si>
  <si>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</si>
  <si>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</si>
  <si>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</si>
  <si>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</si>
  <si>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</si>
  <si>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</si>
  <si>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</si>
  <si>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</si>
  <si>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</si>
  <si>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</si>
  <si>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</si>
  <si>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</si>
  <si>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</si>
  <si>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</si>
  <si>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</si>
  <si>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</si>
  <si>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</si>
  <si>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</si>
  <si>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</si>
  <si>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</si>
  <si>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</si>
  <si>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</si>
  <si>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</si>
  <si>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</si>
  <si>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</si>
  <si>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</si>
  <si>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</si>
  <si>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</si>
  <si>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</si>
  <si>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</si>
  <si>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</si>
  <si>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</si>
  <si>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</si>
  <si>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</si>
  <si>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</si>
  <si>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</si>
  <si>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</si>
  <si>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</si>
  <si>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</si>
  <si>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</si>
  <si>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</si>
  <si>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</si>
  <si>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</si>
  <si>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</si>
  <si>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</si>
  <si>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</si>
  <si>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</si>
  <si>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</si>
  <si>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</si>
  <si>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</si>
  <si>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</si>
  <si>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</si>
  <si>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</si>
  <si>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</si>
  <si>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</si>
  <si>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</si>
  <si>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</si>
  <si>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</si>
  <si>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</si>
  <si>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</si>
  <si>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</si>
  <si>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</si>
  <si>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</si>
  <si>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</si>
  <si>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</si>
  <si>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</si>
  <si>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</si>
  <si>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</si>
  <si>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</si>
  <si>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</si>
  <si>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</si>
  <si>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</si>
  <si>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</si>
  <si>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</si>
  <si>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</si>
  <si>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</si>
  <si>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</si>
  <si>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</si>
  <si>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</si>
  <si>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</si>
  <si>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</si>
  <si>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</si>
  <si>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</si>
  <si>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</si>
  <si>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</si>
  <si>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</si>
  <si>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</si>
  <si>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</si>
  <si>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</si>
  <si>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</si>
  <si>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</si>
  <si>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</si>
  <si>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</si>
  <si>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</si>
  <si>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</si>
  <si>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</si>
  <si>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</si>
  <si>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</si>
  <si>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</si>
  <si>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</si>
  <si>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</si>
  <si>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</si>
  <si>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</si>
  <si>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</si>
  <si>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</si>
  <si>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</si>
  <si>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</si>
  <si>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</si>
  <si>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</si>
  <si>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</si>
  <si>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</si>
  <si>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</si>
  <si>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</si>
  <si>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</si>
  <si>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</si>
  <si>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</si>
  <si>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</si>
  <si>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</si>
  <si>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</si>
  <si>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</si>
  <si>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</si>
  <si>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</si>
  <si>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</si>
  <si>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</si>
  <si>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</si>
  <si>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</si>
  <si>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</si>
  <si>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</si>
  <si>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</si>
  <si>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</si>
  <si>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</si>
  <si>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</si>
  <si>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</si>
  <si>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</si>
  <si>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</si>
  <si>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</si>
  <si>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</si>
  <si>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</si>
  <si>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</si>
  <si>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</si>
  <si>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</si>
  <si>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</si>
  <si>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</si>
  <si>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</si>
  <si>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</si>
  <si>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</si>
  <si>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</si>
  <si>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</si>
  <si>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</si>
  <si>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</si>
  <si>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</si>
  <si>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</si>
  <si>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</si>
  <si>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</si>
  <si>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</si>
  <si>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</si>
  <si>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</si>
  <si>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</si>
  <si>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</si>
  <si>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</si>
  <si>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</si>
  <si>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</si>
  <si>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</si>
  <si>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</si>
  <si>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</si>
  <si>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</si>
  <si>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</si>
  <si>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</si>
  <si>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</si>
  <si>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</si>
  <si>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</si>
  <si>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</si>
  <si>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</si>
  <si>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</si>
  <si>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</si>
  <si>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</si>
  <si>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</si>
  <si>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</si>
  <si>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</si>
  <si>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</si>
  <si>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</si>
  <si>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</si>
  <si>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</si>
  <si>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</si>
  <si>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</si>
  <si>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</si>
  <si>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</si>
  <si>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</si>
  <si>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</si>
  <si>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</si>
  <si>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</si>
  <si>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</si>
  <si>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</si>
  <si>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</si>
  <si>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</si>
  <si>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</si>
  <si>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</si>
  <si>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</si>
  <si>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</si>
  <si>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</si>
  <si>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</si>
  <si>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</si>
  <si>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</si>
  <si>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</si>
  <si>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</si>
  <si>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</si>
  <si>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</si>
  <si>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</si>
  <si>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</si>
  <si>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</si>
  <si>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</si>
  <si>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</si>
  <si>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</si>
  <si>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</si>
  <si>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</si>
  <si>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</si>
  <si>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</si>
  <si>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</si>
  <si>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</si>
  <si>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</si>
  <si>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</si>
  <si>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</si>
  <si>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</si>
  <si>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</si>
  <si>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</si>
  <si>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</si>
  <si>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</si>
  <si>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</si>
  <si>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</si>
  <si>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</si>
  <si>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</si>
  <si>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</si>
  <si>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</si>
  <si>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</si>
  <si>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</si>
  <si>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</si>
  <si>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</si>
  <si>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</si>
  <si>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</si>
  <si>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</si>
  <si>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</si>
  <si>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</si>
  <si>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</si>
  <si>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</si>
  <si>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</si>
  <si>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</si>
  <si>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</si>
  <si>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</si>
  <si>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</si>
  <si>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</si>
  <si>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</si>
  <si>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</si>
  <si>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</si>
  <si>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</si>
  <si>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</si>
  <si>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</si>
  <si>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</si>
  <si>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</si>
  <si>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</si>
  <si>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</si>
  <si>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</si>
  <si>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</si>
  <si>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</si>
  <si>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</si>
  <si>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</si>
  <si>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</si>
  <si>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</si>
  <si>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</si>
  <si>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</si>
  <si>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</si>
  <si>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</si>
  <si>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</si>
  <si>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</si>
  <si>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</si>
  <si>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</si>
  <si>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</si>
  <si>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</si>
  <si>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</si>
  <si>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</si>
  <si>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</si>
  <si>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</si>
  <si>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</si>
  <si>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</si>
  <si>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</si>
  <si>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</si>
  <si>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</si>
  <si>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</si>
  <si>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</si>
  <si>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</si>
  <si>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</si>
  <si>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</si>
  <si>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</si>
  <si>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</si>
  <si>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</si>
  <si>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</si>
  <si>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</si>
  <si>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</si>
  <si>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</si>
  <si>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</si>
  <si>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</si>
  <si>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</si>
  <si>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</si>
  <si>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</si>
  <si>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</si>
  <si>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</si>
  <si>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</si>
  <si>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</si>
  <si>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</si>
  <si>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</si>
  <si>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</si>
  <si>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</si>
  <si>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</si>
  <si>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</si>
  <si>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</si>
  <si>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</si>
  <si>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</si>
  <si>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</si>
  <si>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</si>
  <si>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</si>
  <si>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</si>
  <si>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</si>
  <si>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</si>
  <si>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</si>
  <si>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</si>
  <si>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</si>
  <si>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</si>
  <si>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</si>
  <si>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</si>
  <si>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</si>
  <si>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</si>
  <si>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</si>
  <si>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</si>
  <si>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</si>
  <si>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</si>
  <si>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</si>
  <si>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</si>
  <si>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</si>
  <si>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</si>
  <si>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</si>
  <si>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</si>
  <si>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</si>
  <si>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</si>
  <si>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</si>
  <si>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</si>
  <si>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</si>
  <si>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</si>
  <si>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</si>
  <si>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</si>
  <si>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</si>
  <si>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</si>
  <si>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</si>
  <si>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</si>
  <si>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</si>
  <si>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</si>
  <si>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</si>
  <si>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</si>
  <si>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</si>
  <si>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</si>
  <si>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</si>
  <si>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</si>
  <si>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</si>
  <si>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</si>
  <si>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</si>
  <si>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</si>
  <si>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</si>
  <si>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</si>
  <si>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</si>
  <si>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</si>
  <si>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</si>
  <si>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</si>
  <si>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</si>
  <si>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</si>
  <si>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</si>
  <si>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</si>
  <si>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</si>
  <si>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</si>
  <si>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</si>
  <si>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</si>
  <si>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</si>
  <si>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</si>
  <si>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</si>
  <si>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</si>
  <si>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</si>
  <si>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</si>
  <si>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</si>
  <si>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</si>
  <si>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</si>
  <si>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</si>
  <si>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</si>
  <si>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</si>
  <si>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</si>
  <si>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</si>
  <si>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</si>
  <si>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</si>
  <si>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</si>
  <si>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</si>
  <si>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</si>
  <si>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</si>
  <si>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</si>
  <si>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</si>
  <si>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</si>
  <si>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</si>
  <si>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</si>
  <si>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</si>
  <si>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</si>
  <si>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хляб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</si>
  <si>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</si>
  <si>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</si>
  <si>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</si>
  <si>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</si>
  <si>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</si>
  <si>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</si>
  <si>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</si>
  <si>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</si>
  <si>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</si>
  <si>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</si>
  <si>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</si>
  <si>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</si>
  <si>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</si>
  <si>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Вид източник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</si>
  <si>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</si>
  <si>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</si>
  <si>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</si>
  <si>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</si>
  <si>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</si>
  <si>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</si>
  <si>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</si>
  <si>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</si>
  <si>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</si>
  <si>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</si>
  <si>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</si>
  <si>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</si>
  <si>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</si>
  <si>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</si>
  <si>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</si>
  <si>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</si>
  <si>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</si>
  <si>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</si>
  <si>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</si>
  <si>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</si>
  <si>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</si>
  <si>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</si>
  <si>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</si>
  <si>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</si>
  <si>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</si>
  <si>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</si>
  <si>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</si>
  <si>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</si>
  <si>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</si>
  <si>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</si>
  <si>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</si>
  <si>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</si>
  <si>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</si>
  <si>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</si>
  <si>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</si>
  <si>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</si>
  <si>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</si>
  <si>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</si>
  <si>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</si>
  <si>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</si>
  <si>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</si>
  <si>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</si>
  <si>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</si>
  <si>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</si>
  <si>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</si>
  <si>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</si>
  <si>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</si>
  <si>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</si>
  <si>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</si>
  <si>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</si>
  <si>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</si>
  <si>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</si>
  <si>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</si>
  <si>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</si>
  <si>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</si>
  <si>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</si>
  <si>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</si>
  <si>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</si>
  <si>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</si>
  <si>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</si>
  <si>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</si>
  <si>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</si>
  <si>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</si>
  <si>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</si>
  <si>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</si>
  <si>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</si>
  <si>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</si>
  <si>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</si>
  <si>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</si>
  <si>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</si>
  <si>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</si>
  <si>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</si>
  <si>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</si>
  <si>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</si>
  <si>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</si>
  <si>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</si>
  <si>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</si>
  <si>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</si>
  <si>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</si>
  <si>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</si>
  <si>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</si>
  <si>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</si>
  <si>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</si>
  <si>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</si>
  <si>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</si>
  <si>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</si>
  <si>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</si>
  <si>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</si>
  <si>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</si>
  <si>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</si>
  <si>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</si>
  <si>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</si>
  <si>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</si>
  <si>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</si>
  <si>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</si>
  <si>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</si>
  <si>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</si>
  <si>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</si>
  <si>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</si>
  <si>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</si>
  <si>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</si>
  <si>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</si>
  <si>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</si>
  <si>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</si>
  <si>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</si>
  <si>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</si>
  <si>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</si>
  <si>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</si>
  <si>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</si>
  <si>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</si>
  <si>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</si>
  <si>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</si>
  <si>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</si>
  <si>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</si>
  <si>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</si>
  <si>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</si>
  <si>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</si>
  <si>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</si>
  <si>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</si>
  <si>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</si>
  <si>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</si>
  <si>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</si>
  <si>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</si>
  <si>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</si>
  <si>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</si>
  <si>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</si>
  <si>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</si>
  <si>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</si>
  <si>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</si>
  <si>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</si>
  <si>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</si>
  <si>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</si>
  <si>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</si>
  <si>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Яйца</t>
  </si>
  <si>
    <t>карт салата</t>
  </si>
  <si>
    <t>телешко</t>
  </si>
  <si>
    <t>орехи</t>
  </si>
  <si>
    <t>кис. Кляко</t>
  </si>
  <si>
    <t>Пазар</t>
  </si>
  <si>
    <t>тоалетна хартия</t>
  </si>
  <si>
    <t>банани</t>
  </si>
  <si>
    <t>пр.мляко</t>
  </si>
  <si>
    <t>явокадо</t>
  </si>
  <si>
    <t>Фурми</t>
  </si>
  <si>
    <t>фурми</t>
  </si>
  <si>
    <t>Сварен боб</t>
  </si>
  <si>
    <t>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</si>
  <si>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</si>
  <si>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</si>
  <si>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</si>
  <si>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</si>
  <si>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</si>
  <si>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</si>
  <si>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</si>
  <si>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</si>
  <si>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</si>
  <si>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</si>
  <si>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</si>
  <si>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</si>
  <si>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</si>
  <si>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</si>
  <si>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Гидоре</t>
  </si>
  <si>
    <t>Разглабяне на страничния капак</t>
  </si>
  <si>
    <t>Стереопорено столче</t>
  </si>
  <si>
    <t>махане на дългата лайсна</t>
  </si>
  <si>
    <t>Фенерче</t>
  </si>
  <si>
    <t>отваряне на мокета</t>
  </si>
  <si>
    <t>Куфар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</si>
  <si>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</si>
  <si>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</si>
  <si>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</si>
  <si>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</si>
  <si>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Спрей за почистване</t>
  </si>
  <si>
    <t>монтиране</t>
  </si>
  <si>
    <t>Отвертка за отваряне на кори</t>
  </si>
  <si>
    <t>тест</t>
  </si>
  <si>
    <t>сглобяване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</si>
  <si>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</si>
  <si>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</si>
  <si>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</si>
  <si>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</si>
  <si>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</si>
  <si>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</si>
  <si>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</si>
  <si>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</si>
  <si>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</si>
  <si>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</si>
  <si>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</si>
  <si>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</si>
  <si>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</si>
  <si>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</si>
  <si>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</si>
  <si>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</si>
  <si>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</si>
  <si>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</si>
  <si>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</si>
  <si>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</si>
  <si>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</si>
  <si>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</si>
  <si>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Отиване до Перник</t>
  </si>
  <si>
    <t>Отиване до Люлин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</si>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</sst>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color rgb="FF64AF8C"/>
      <name val="Calibri"/>
      <family val="2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4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4" fillId="0" borderId="2" xfId="0" applyFont="1" applyBorder="1"/>
    <xf numFmtId="0" fontId="15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12" fillId="0" borderId="0" xfId="0" applyFont="1"/>
    <xf numFmtId="0" fontId="0" fillId="0" borderId="0" xfId="0" applyBorder="1" applyAlignment="1">
      <alignment horizontal="left"/>
    </xf>
    <xf numFmtId="0" fontId="16" fillId="0" borderId="0" xfId="0" applyFont="1"/>
    <xf numFmtId="0" fontId="11" fillId="0" borderId="0" xfId="0" applyFont="1"/>
    <xf numFmtId="0" fontId="0" fillId="0" borderId="9" xfId="0" applyBorder="1"/>
    <xf numFmtId="0" fontId="18" fillId="0" borderId="0" xfId="0" applyFont="1"/>
    <xf numFmtId="0" fontId="14" fillId="0" borderId="9" xfId="0" applyFont="1" applyBorder="1"/>
    <xf numFmtId="0" fontId="19" fillId="0" borderId="0" xfId="0" applyFont="1"/>
    <xf numFmtId="0" fontId="0" fillId="2" borderId="0" xfId="0" applyFill="1"/>
    <xf numFmtId="0" fontId="20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15" fillId="0" borderId="10" xfId="0" applyFont="1" applyBorder="1"/>
    <xf numFmtId="0" fontId="0" fillId="0" borderId="11" xfId="0" applyBorder="1"/>
    <xf numFmtId="0" fontId="0" fillId="0" borderId="12" xfId="0" applyBorder="1"/>
    <xf numFmtId="0" fontId="7" fillId="0" borderId="11" xfId="0" applyFont="1" applyBorder="1"/>
    <xf numFmtId="0" fontId="7" fillId="0" borderId="10" xfId="0" applyFont="1" applyBorder="1"/>
    <xf numFmtId="0" fontId="7" fillId="0" borderId="12" xfId="0" applyFont="1" applyBorder="1"/>
    <xf numFmtId="0" fontId="0" fillId="0" borderId="10" xfId="0" applyBorder="1"/>
    <xf numFmtId="0" fontId="15" fillId="0" borderId="12" xfId="0" applyFont="1" applyBorder="1"/>
    <xf numFmtId="0" fontId="21" fillId="0" borderId="0" xfId="0" applyFont="1"/>
    <xf numFmtId="0" fontId="15" fillId="0" borderId="2" xfId="0" applyFont="1" applyBorder="1"/>
    <xf numFmtId="0" fontId="15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5" fillId="0" borderId="1" xfId="0" applyFont="1" applyBorder="1"/>
    <xf numFmtId="0" fontId="15" fillId="0" borderId="9" xfId="0" applyFont="1" applyBorder="1"/>
    <xf numFmtId="0" fontId="0" fillId="0" borderId="9" xfId="0" applyBorder="1" applyAlignment="1">
      <alignment wrapText="1"/>
    </xf>
    <xf numFmtId="0" fontId="15" fillId="0" borderId="11" xfId="0" applyFont="1" applyBorder="1"/>
    <xf numFmtId="0" fontId="15" fillId="0" borderId="9" xfId="0" applyFont="1" applyBorder="1" applyAlignment="1">
      <alignment horizontal="center"/>
    </xf>
    <xf numFmtId="14" fontId="0" fillId="0" borderId="0" xfId="0" applyNumberFormat="1"/>
    <xf numFmtId="0" fontId="15" fillId="0" borderId="4" xfId="0" applyFont="1" applyBorder="1" applyAlignment="1">
      <alignment horizontal="right"/>
    </xf>
    <xf numFmtId="0" fontId="15" fillId="0" borderId="6" xfId="0" applyFont="1" applyBorder="1"/>
    <xf numFmtId="0" fontId="19" fillId="0" borderId="0" xfId="0" applyFont="1" applyBorder="1"/>
    <xf numFmtId="0" fontId="6" fillId="0" borderId="0" xfId="0" applyFont="1"/>
    <xf numFmtId="0" fontId="5" fillId="0" borderId="0" xfId="0" applyFont="1"/>
    <xf numFmtId="0" fontId="0" fillId="0" borderId="10" xfId="0" applyFill="1" applyBorder="1"/>
    <xf numFmtId="0" fontId="0" fillId="0" borderId="9" xfId="0" applyFill="1" applyBorder="1"/>
    <xf numFmtId="0" fontId="15" fillId="0" borderId="0" xfId="0" applyFont="1" applyFill="1" applyBorder="1"/>
    <xf numFmtId="0" fontId="22" fillId="0" borderId="0" xfId="0" applyFont="1"/>
    <xf numFmtId="0" fontId="23" fillId="0" borderId="0" xfId="0" applyFont="1"/>
    <xf numFmtId="0" fontId="0" fillId="0" borderId="0" xfId="0" quotePrefix="1"/>
    <xf numFmtId="9" fontId="0" fillId="0" borderId="0" xfId="0" applyNumberFormat="1"/>
    <xf numFmtId="0" fontId="15" fillId="0" borderId="0" xfId="0" quotePrefix="1" applyFont="1"/>
    <xf numFmtId="0" fontId="24" fillId="0" borderId="0" xfId="0" applyFont="1"/>
    <xf numFmtId="0" fontId="20" fillId="0" borderId="10" xfId="0" applyFont="1" applyBorder="1"/>
    <xf numFmtId="0" fontId="15" fillId="0" borderId="0" xfId="0" applyFont="1" applyBorder="1"/>
    <xf numFmtId="0" fontId="4" fillId="0" borderId="10" xfId="0" applyFont="1" applyBorder="1"/>
    <xf numFmtId="0" fontId="25" fillId="0" borderId="12" xfId="0" applyFont="1" applyBorder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6" fillId="0" borderId="2" xfId="0" applyFont="1" applyBorder="1"/>
    <xf numFmtId="0" fontId="16" fillId="0" borderId="3" xfId="0" applyFont="1" applyBorder="1"/>
    <xf numFmtId="0" fontId="20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141</xdr:row>
      <xdr:rowOff>115614</xdr:rowOff>
    </xdr:from>
    <xdr:to>
      <xdr:col>6</xdr:col>
      <xdr:colOff>504497</xdr:colOff>
      <xdr:row>141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141</xdr:row>
      <xdr:rowOff>99848</xdr:rowOff>
    </xdr:from>
    <xdr:to>
      <xdr:col>9</xdr:col>
      <xdr:colOff>546538</xdr:colOff>
      <xdr:row>141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141</xdr:row>
      <xdr:rowOff>94593</xdr:rowOff>
    </xdr:from>
    <xdr:to>
      <xdr:col>3</xdr:col>
      <xdr:colOff>504497</xdr:colOff>
      <xdr:row>141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11</xdr:row>
      <xdr:rowOff>130328</xdr:rowOff>
    </xdr:from>
    <xdr:to>
      <xdr:col>4</xdr:col>
      <xdr:colOff>1273591</xdr:colOff>
      <xdr:row>17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11</xdr:row>
      <xdr:rowOff>160808</xdr:rowOff>
    </xdr:from>
    <xdr:to>
      <xdr:col>4</xdr:col>
      <xdr:colOff>1136431</xdr:colOff>
      <xdr:row>17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283779</xdr:colOff>
      <xdr:row>15</xdr:row>
      <xdr:rowOff>89337</xdr:rowOff>
    </xdr:from>
    <xdr:to>
      <xdr:col>3</xdr:col>
      <xdr:colOff>572814</xdr:colOff>
      <xdr:row>17</xdr:row>
      <xdr:rowOff>47296</xdr:rowOff>
    </xdr:to>
    <xdr:sp macro="" textlink="">
      <xdr:nvSpPr>
        <xdr:cNvPr id="5" name="Rounded Rectangle 4"/>
        <xdr:cNvSpPr/>
      </xdr:nvSpPr>
      <xdr:spPr>
        <a:xfrm>
          <a:off x="893379" y="2848303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6</xdr:col>
      <xdr:colOff>7883</xdr:colOff>
      <xdr:row>13</xdr:row>
      <xdr:rowOff>141890</xdr:rowOff>
    </xdr:from>
    <xdr:to>
      <xdr:col>7</xdr:col>
      <xdr:colOff>459828</xdr:colOff>
      <xdr:row>14</xdr:row>
      <xdr:rowOff>162911</xdr:rowOff>
    </xdr:to>
    <xdr:sp macro="" textlink="">
      <xdr:nvSpPr>
        <xdr:cNvPr id="6" name="Rounded Rectangle 5"/>
        <xdr:cNvSpPr/>
      </xdr:nvSpPr>
      <xdr:spPr>
        <a:xfrm>
          <a:off x="4585138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8</xdr:col>
      <xdr:colOff>136634</xdr:colOff>
      <xdr:row>13</xdr:row>
      <xdr:rowOff>141890</xdr:rowOff>
    </xdr:from>
    <xdr:to>
      <xdr:col>9</xdr:col>
      <xdr:colOff>588579</xdr:colOff>
      <xdr:row>14</xdr:row>
      <xdr:rowOff>162911</xdr:rowOff>
    </xdr:to>
    <xdr:sp macro="" textlink="">
      <xdr:nvSpPr>
        <xdr:cNvPr id="7" name="Rounded Rectangle 6"/>
        <xdr:cNvSpPr/>
      </xdr:nvSpPr>
      <xdr:spPr>
        <a:xfrm>
          <a:off x="5933089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68318</xdr:colOff>
      <xdr:row>1</xdr:row>
      <xdr:rowOff>31531</xdr:rowOff>
    </xdr:from>
    <xdr:to>
      <xdr:col>4</xdr:col>
      <xdr:colOff>1450428</xdr:colOff>
      <xdr:row>3</xdr:row>
      <xdr:rowOff>42041</xdr:rowOff>
    </xdr:to>
    <xdr:sp macro="" textlink="">
      <xdr:nvSpPr>
        <xdr:cNvPr id="8" name="Rounded Rectangle 7"/>
        <xdr:cNvSpPr/>
      </xdr:nvSpPr>
      <xdr:spPr>
        <a:xfrm>
          <a:off x="2506718" y="215462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4</xdr:col>
      <xdr:colOff>228601</xdr:colOff>
      <xdr:row>5</xdr:row>
      <xdr:rowOff>149774</xdr:rowOff>
    </xdr:from>
    <xdr:to>
      <xdr:col>4</xdr:col>
      <xdr:colOff>1290146</xdr:colOff>
      <xdr:row>6</xdr:row>
      <xdr:rowOff>170795</xdr:rowOff>
    </xdr:to>
    <xdr:sp macro="" textlink="">
      <xdr:nvSpPr>
        <xdr:cNvPr id="9" name="Rounded Rectangle 8"/>
        <xdr:cNvSpPr/>
      </xdr:nvSpPr>
      <xdr:spPr>
        <a:xfrm>
          <a:off x="2667001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8</xdr:col>
      <xdr:colOff>144517</xdr:colOff>
      <xdr:row>5</xdr:row>
      <xdr:rowOff>149774</xdr:rowOff>
    </xdr:from>
    <xdr:to>
      <xdr:col>9</xdr:col>
      <xdr:colOff>596462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5940972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1</xdr:col>
      <xdr:colOff>507124</xdr:colOff>
      <xdr:row>13</xdr:row>
      <xdr:rowOff>168167</xdr:rowOff>
    </xdr:from>
    <xdr:to>
      <xdr:col>3</xdr:col>
      <xdr:colOff>349469</xdr:colOff>
      <xdr:row>15</xdr:row>
      <xdr:rowOff>5256</xdr:rowOff>
    </xdr:to>
    <xdr:sp macro="" textlink="">
      <xdr:nvSpPr>
        <xdr:cNvPr id="14" name="Rounded Rectangle 13"/>
        <xdr:cNvSpPr/>
      </xdr:nvSpPr>
      <xdr:spPr>
        <a:xfrm>
          <a:off x="1116724" y="2559270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6</xdr:col>
      <xdr:colOff>7881</xdr:colOff>
      <xdr:row>5</xdr:row>
      <xdr:rowOff>149774</xdr:rowOff>
    </xdr:from>
    <xdr:to>
      <xdr:col>7</xdr:col>
      <xdr:colOff>459826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4585136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zoomScale="145" zoomScaleNormal="145" workbookViewId="0">
      <selection activeCell="G13" sqref="G13"/>
    </sheetView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525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594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626</v>
      </c>
      <c r="D19" s="7"/>
      <c r="E19" s="8" t="s">
        <v>341</v>
      </c>
      <c r="G19" s="3"/>
      <c r="H19" s="7"/>
      <c r="I19" s="8"/>
    </row>
    <row r="20" spans="1:15">
      <c r="C20" s="3" t="s">
        <v>627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>
      <c r="C22" s="3"/>
      <c r="E22" s="8"/>
      <c r="G22" s="3"/>
      <c r="H22" s="7"/>
      <c r="I22" s="8"/>
      <c r="K22" s="29" t="s">
        <v>504</v>
      </c>
    </row>
    <row r="23" spans="1:15">
      <c r="C23" s="3"/>
      <c r="E23" s="8"/>
      <c r="G23" s="3"/>
      <c r="H23" s="7"/>
      <c r="I23" s="8" t="s">
        <v>239</v>
      </c>
      <c r="K23" t="s">
        <v>505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521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825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526</v>
      </c>
    </row>
    <row r="40" spans="2:15">
      <c r="D40" t="s">
        <v>204</v>
      </c>
      <c r="H40" t="s">
        <v>527</v>
      </c>
    </row>
    <row r="41" spans="2:15">
      <c r="D41" t="s">
        <v>205</v>
      </c>
      <c r="H41" t="s">
        <v>531</v>
      </c>
    </row>
    <row r="42" spans="2:15">
      <c r="D42" t="s">
        <v>207</v>
      </c>
      <c r="H42" t="s">
        <v>532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826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662</v>
      </c>
    </row>
    <row r="552" spans="1:6">
      <c r="B552" t="s">
        <v>663</v>
      </c>
    </row>
    <row r="553" spans="1:6">
      <c r="B553" t="s">
        <v>664</v>
      </c>
    </row>
    <row r="555" spans="1:6">
      <c r="B555" s="16" t="s">
        <v>665</v>
      </c>
    </row>
    <row r="556" spans="1:6">
      <c r="C556" t="s">
        <v>666</v>
      </c>
    </row>
    <row r="557" spans="1:6">
      <c r="C557" t="s">
        <v>667</v>
      </c>
    </row>
    <row r="558" spans="1:6">
      <c r="C558" t="s">
        <v>668</v>
      </c>
    </row>
    <row r="560" spans="1:6">
      <c r="B560" t="s">
        <v>669</v>
      </c>
    </row>
    <row r="562" spans="2:3">
      <c r="B562" t="s">
        <v>670</v>
      </c>
    </row>
    <row r="564" spans="2:3">
      <c r="B564" t="s">
        <v>665</v>
      </c>
    </row>
    <row r="565" spans="2:3">
      <c r="C565" t="s">
        <v>671</v>
      </c>
    </row>
    <row r="566" spans="2:3">
      <c r="C566" t="s">
        <v>672</v>
      </c>
    </row>
    <row r="567" spans="2:3">
      <c r="C567" t="s">
        <v>673</v>
      </c>
    </row>
    <row r="569" spans="2:3">
      <c r="B569" t="s">
        <v>674</v>
      </c>
    </row>
    <row r="571" spans="2:3">
      <c r="B571" s="16" t="s">
        <v>675</v>
      </c>
    </row>
    <row r="572" spans="2:3">
      <c r="C572" s="58" t="s">
        <v>676</v>
      </c>
    </row>
    <row r="573" spans="2:3">
      <c r="C573" s="58" t="s">
        <v>677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197"/>
  <sheetViews>
    <sheetView topLeftCell="A50" zoomScale="145" zoomScaleNormal="145" workbookViewId="0">
      <selection activeCell="E194" sqref="E194"/>
    </sheetView>
  </sheetViews>
  <sheetFormatPr defaultRowHeight="14.4"/>
  <cols>
    <col min="4" max="4" width="9.5546875" customWidth="1"/>
  </cols>
  <sheetData>
    <row r="2" spans="1:9">
      <c r="A2" s="16" t="s">
        <v>597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502</v>
      </c>
    </row>
    <row r="26" spans="1:12">
      <c r="A26" s="16" t="s">
        <v>530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534</v>
      </c>
    </row>
    <row r="46" spans="1:12">
      <c r="B46" s="7" t="s">
        <v>537</v>
      </c>
      <c r="D46" s="7" t="s">
        <v>536</v>
      </c>
      <c r="G46" s="7" t="s">
        <v>535</v>
      </c>
    </row>
    <row r="47" spans="1:12">
      <c r="D47" s="7"/>
      <c r="G47" s="7"/>
    </row>
    <row r="48" spans="1:12">
      <c r="D48" s="7" t="s">
        <v>821</v>
      </c>
      <c r="G48" s="7" t="s">
        <v>595</v>
      </c>
    </row>
    <row r="49" spans="1:12">
      <c r="D49" s="7"/>
      <c r="G49" s="7"/>
    </row>
    <row r="50" spans="1:12">
      <c r="D50" s="7" t="s">
        <v>822</v>
      </c>
      <c r="G50" s="7" t="s">
        <v>595</v>
      </c>
    </row>
    <row r="51" spans="1:12">
      <c r="D51" s="7"/>
      <c r="G51" s="7"/>
    </row>
    <row r="52" spans="1:12">
      <c r="D52" s="7" t="s">
        <v>823</v>
      </c>
      <c r="G52" s="7" t="s">
        <v>595</v>
      </c>
    </row>
    <row r="54" spans="1:12">
      <c r="A54" s="16" t="s">
        <v>598</v>
      </c>
    </row>
    <row r="55" spans="1:12">
      <c r="A55" s="16"/>
    </row>
    <row r="56" spans="1:12">
      <c r="C56" s="16" t="s">
        <v>602</v>
      </c>
      <c r="H56" s="16" t="s">
        <v>601</v>
      </c>
      <c r="L56" s="16" t="s">
        <v>755</v>
      </c>
    </row>
    <row r="57" spans="1:12">
      <c r="B57">
        <v>1</v>
      </c>
      <c r="C57" t="s">
        <v>599</v>
      </c>
      <c r="H57" t="s">
        <v>612</v>
      </c>
      <c r="L57" t="s">
        <v>761</v>
      </c>
    </row>
    <row r="58" spans="1:12">
      <c r="B58">
        <v>2</v>
      </c>
      <c r="C58" t="s">
        <v>600</v>
      </c>
      <c r="H58" t="s">
        <v>603</v>
      </c>
      <c r="L58" t="s">
        <v>760</v>
      </c>
    </row>
    <row r="59" spans="1:12">
      <c r="B59">
        <v>3</v>
      </c>
      <c r="C59" s="72" t="s">
        <v>606</v>
      </c>
      <c r="H59" t="s">
        <v>870</v>
      </c>
      <c r="L59" t="s">
        <v>758</v>
      </c>
    </row>
    <row r="60" spans="1:12">
      <c r="B60">
        <v>4</v>
      </c>
      <c r="C60" t="s">
        <v>604</v>
      </c>
      <c r="H60" t="s">
        <v>605</v>
      </c>
      <c r="L60" t="s">
        <v>759</v>
      </c>
    </row>
    <row r="61" spans="1:12">
      <c r="B61">
        <v>5</v>
      </c>
      <c r="C61" t="s">
        <v>869</v>
      </c>
      <c r="H61" t="s">
        <v>870</v>
      </c>
      <c r="L61" t="s">
        <v>758</v>
      </c>
    </row>
    <row r="62" spans="1:12">
      <c r="B62">
        <v>6</v>
      </c>
      <c r="C62" t="s">
        <v>657</v>
      </c>
      <c r="H62" t="s">
        <v>873</v>
      </c>
    </row>
    <row r="63" spans="1:12">
      <c r="B63">
        <v>7</v>
      </c>
      <c r="C63" t="s">
        <v>753</v>
      </c>
      <c r="H63" t="s">
        <v>754</v>
      </c>
      <c r="L63" t="s">
        <v>757</v>
      </c>
    </row>
    <row r="64" spans="1:12">
      <c r="B64">
        <v>8</v>
      </c>
      <c r="C64" t="s">
        <v>762</v>
      </c>
      <c r="H64" t="s">
        <v>763</v>
      </c>
      <c r="L64" t="s">
        <v>824</v>
      </c>
    </row>
    <row r="65" spans="2:13">
      <c r="B65">
        <v>9</v>
      </c>
      <c r="C65" t="s">
        <v>756</v>
      </c>
      <c r="H65" t="s">
        <v>858</v>
      </c>
      <c r="L65" s="65" t="s">
        <v>839</v>
      </c>
    </row>
    <row r="66" spans="2:13">
      <c r="B66">
        <v>10</v>
      </c>
      <c r="C66" t="s">
        <v>871</v>
      </c>
      <c r="H66" t="s">
        <v>872</v>
      </c>
      <c r="L66" s="65" t="s">
        <v>848</v>
      </c>
    </row>
    <row r="67" spans="2:13">
      <c r="B67">
        <v>11</v>
      </c>
      <c r="C67" t="s">
        <v>849</v>
      </c>
      <c r="H67" t="s">
        <v>851</v>
      </c>
      <c r="L67" t="s">
        <v>850</v>
      </c>
    </row>
    <row r="68" spans="2:13">
      <c r="B68" s="72">
        <v>12</v>
      </c>
      <c r="C68" t="s">
        <v>853</v>
      </c>
      <c r="H68" t="s">
        <v>874</v>
      </c>
      <c r="L68" t="s">
        <v>854</v>
      </c>
      <c r="M68" s="65"/>
    </row>
    <row r="69" spans="2:13">
      <c r="B69">
        <v>13</v>
      </c>
      <c r="C69" t="s">
        <v>855</v>
      </c>
      <c r="H69" t="s">
        <v>875</v>
      </c>
      <c r="M69" s="65"/>
    </row>
    <row r="70" spans="2:13">
      <c r="B70">
        <v>14</v>
      </c>
      <c r="C70" t="s">
        <v>856</v>
      </c>
      <c r="L70" t="s">
        <v>857</v>
      </c>
      <c r="M70" s="65"/>
    </row>
    <row r="71" spans="2:13">
      <c r="B71">
        <v>15</v>
      </c>
      <c r="C71" t="s">
        <v>859</v>
      </c>
      <c r="H71" t="s">
        <v>867</v>
      </c>
      <c r="L71" t="s">
        <v>865</v>
      </c>
      <c r="M71" s="65"/>
    </row>
    <row r="72" spans="2:13">
      <c r="B72">
        <v>16</v>
      </c>
      <c r="C72" t="s">
        <v>866</v>
      </c>
      <c r="H72" t="s">
        <v>867</v>
      </c>
      <c r="L72" t="s">
        <v>868</v>
      </c>
      <c r="M72" s="65"/>
    </row>
    <row r="73" spans="2:13">
      <c r="B73">
        <v>17</v>
      </c>
      <c r="C73" t="s">
        <v>876</v>
      </c>
      <c r="L73" t="s">
        <v>877</v>
      </c>
      <c r="M73" s="65"/>
    </row>
    <row r="74" spans="2:13">
      <c r="B74">
        <v>18</v>
      </c>
      <c r="C74" t="s">
        <v>878</v>
      </c>
      <c r="L74" t="s">
        <v>877</v>
      </c>
      <c r="M74" s="65"/>
    </row>
    <row r="75" spans="2:13">
      <c r="B75">
        <v>19</v>
      </c>
      <c r="M75" s="65"/>
    </row>
    <row r="76" spans="2:13">
      <c r="M76" s="65"/>
    </row>
    <row r="78" spans="2:13">
      <c r="C78" s="27" t="s">
        <v>629</v>
      </c>
      <c r="I78" s="27" t="s">
        <v>635</v>
      </c>
    </row>
    <row r="79" spans="2:13">
      <c r="B79">
        <v>1</v>
      </c>
      <c r="C79" t="s">
        <v>630</v>
      </c>
      <c r="H79">
        <v>1</v>
      </c>
      <c r="I79" t="s">
        <v>640</v>
      </c>
    </row>
    <row r="80" spans="2:13">
      <c r="B80">
        <v>2</v>
      </c>
      <c r="C80" s="57" t="s">
        <v>634</v>
      </c>
      <c r="H80">
        <v>2</v>
      </c>
      <c r="I80" t="s">
        <v>641</v>
      </c>
    </row>
    <row r="81" spans="1:9">
      <c r="B81">
        <v>3</v>
      </c>
      <c r="C81" t="s">
        <v>631</v>
      </c>
      <c r="H81">
        <v>3</v>
      </c>
      <c r="I81" t="s">
        <v>636</v>
      </c>
    </row>
    <row r="82" spans="1:9">
      <c r="B82">
        <v>4</v>
      </c>
      <c r="C82" t="s">
        <v>632</v>
      </c>
      <c r="H82">
        <v>4</v>
      </c>
      <c r="I82" t="s">
        <v>637</v>
      </c>
    </row>
    <row r="83" spans="1:9">
      <c r="B83">
        <v>5</v>
      </c>
      <c r="C83" t="s">
        <v>633</v>
      </c>
      <c r="H83">
        <v>5</v>
      </c>
      <c r="I83" t="s">
        <v>655</v>
      </c>
    </row>
    <row r="84" spans="1:9">
      <c r="B84">
        <v>6</v>
      </c>
      <c r="C84" t="s">
        <v>639</v>
      </c>
      <c r="H84">
        <v>6</v>
      </c>
      <c r="I84" t="s">
        <v>638</v>
      </c>
    </row>
    <row r="87" spans="1:9">
      <c r="A87" s="16" t="s">
        <v>613</v>
      </c>
    </row>
    <row r="89" spans="1:9">
      <c r="B89">
        <v>1</v>
      </c>
      <c r="C89" t="s">
        <v>614</v>
      </c>
      <c r="E89" t="s">
        <v>615</v>
      </c>
    </row>
    <row r="90" spans="1:9">
      <c r="B90">
        <v>2</v>
      </c>
      <c r="C90" t="s">
        <v>616</v>
      </c>
      <c r="E90" t="s">
        <v>619</v>
      </c>
    </row>
    <row r="91" spans="1:9">
      <c r="B91">
        <v>3</v>
      </c>
      <c r="C91" t="s">
        <v>617</v>
      </c>
      <c r="E91" t="s">
        <v>623</v>
      </c>
    </row>
    <row r="92" spans="1:9">
      <c r="B92">
        <v>4</v>
      </c>
      <c r="C92" t="s">
        <v>618</v>
      </c>
      <c r="E92" t="s">
        <v>624</v>
      </c>
    </row>
    <row r="93" spans="1:9">
      <c r="B93">
        <v>5</v>
      </c>
      <c r="C93" t="s">
        <v>620</v>
      </c>
      <c r="E93" t="s">
        <v>625</v>
      </c>
    </row>
    <row r="94" spans="1:9">
      <c r="B94">
        <v>6</v>
      </c>
      <c r="C94" t="s">
        <v>621</v>
      </c>
      <c r="E94" t="s">
        <v>622</v>
      </c>
    </row>
    <row r="97" spans="1:4">
      <c r="A97" s="16" t="s">
        <v>628</v>
      </c>
    </row>
    <row r="99" spans="1:4">
      <c r="B99">
        <v>1</v>
      </c>
      <c r="C99" t="s">
        <v>610</v>
      </c>
      <c r="D99" t="s">
        <v>611</v>
      </c>
    </row>
    <row r="100" spans="1:4">
      <c r="B100">
        <v>2</v>
      </c>
      <c r="C100" t="s">
        <v>616</v>
      </c>
      <c r="D100" t="s">
        <v>611</v>
      </c>
    </row>
    <row r="103" spans="1:4">
      <c r="A103" s="16" t="s">
        <v>642</v>
      </c>
    </row>
    <row r="105" spans="1:4">
      <c r="B105">
        <v>1</v>
      </c>
      <c r="C105" t="s">
        <v>643</v>
      </c>
    </row>
    <row r="106" spans="1:4">
      <c r="B106">
        <v>2</v>
      </c>
      <c r="C106" t="s">
        <v>644</v>
      </c>
    </row>
    <row r="107" spans="1:4">
      <c r="B107">
        <v>3</v>
      </c>
      <c r="C107" t="s">
        <v>647</v>
      </c>
    </row>
    <row r="108" spans="1:4">
      <c r="B108">
        <v>4</v>
      </c>
      <c r="C108" t="s">
        <v>645</v>
      </c>
    </row>
    <row r="109" spans="1:4">
      <c r="B109">
        <v>5</v>
      </c>
      <c r="C109" t="s">
        <v>646</v>
      </c>
    </row>
    <row r="110" spans="1:4">
      <c r="B110">
        <v>6</v>
      </c>
      <c r="C110" t="s">
        <v>656</v>
      </c>
    </row>
    <row r="111" spans="1:4">
      <c r="B111">
        <v>7</v>
      </c>
      <c r="C111" t="s">
        <v>678</v>
      </c>
    </row>
    <row r="112" spans="1:4">
      <c r="B112">
        <v>8</v>
      </c>
      <c r="C112" t="s">
        <v>735</v>
      </c>
    </row>
    <row r="113" spans="1:8">
      <c r="B113">
        <v>9</v>
      </c>
      <c r="C113" t="s">
        <v>750</v>
      </c>
    </row>
    <row r="114" spans="1:8">
      <c r="B114">
        <v>10</v>
      </c>
      <c r="C114" t="s">
        <v>838</v>
      </c>
    </row>
    <row r="115" spans="1:8">
      <c r="B115">
        <v>11</v>
      </c>
      <c r="C115" t="s">
        <v>852</v>
      </c>
    </row>
    <row r="118" spans="1:8">
      <c r="A118" s="16" t="s">
        <v>273</v>
      </c>
    </row>
    <row r="119" spans="1:8">
      <c r="A119" s="16"/>
      <c r="B119" t="s">
        <v>652</v>
      </c>
    </row>
    <row r="121" spans="1:8">
      <c r="B121">
        <v>1</v>
      </c>
      <c r="C121" s="16" t="s">
        <v>640</v>
      </c>
      <c r="G121">
        <v>2</v>
      </c>
      <c r="H121" s="16" t="s">
        <v>641</v>
      </c>
    </row>
    <row r="128" spans="1:8">
      <c r="B128">
        <v>3</v>
      </c>
      <c r="C128" s="16" t="s">
        <v>636</v>
      </c>
      <c r="G128">
        <v>4</v>
      </c>
      <c r="H128" s="16" t="s">
        <v>637</v>
      </c>
    </row>
    <row r="129" spans="1:8">
      <c r="C129" t="s">
        <v>654</v>
      </c>
      <c r="H129" t="s">
        <v>648</v>
      </c>
    </row>
    <row r="130" spans="1:8">
      <c r="C130" t="s">
        <v>651</v>
      </c>
      <c r="H130" t="s">
        <v>649</v>
      </c>
    </row>
    <row r="131" spans="1:8">
      <c r="H131" t="s">
        <v>650</v>
      </c>
    </row>
    <row r="132" spans="1:8">
      <c r="H132" t="s">
        <v>752</v>
      </c>
    </row>
    <row r="133" spans="1:8">
      <c r="H133" t="s">
        <v>651</v>
      </c>
    </row>
    <row r="138" spans="1:8">
      <c r="B138">
        <v>5</v>
      </c>
      <c r="C138" s="16" t="s">
        <v>655</v>
      </c>
      <c r="G138">
        <v>6</v>
      </c>
      <c r="H138" s="16" t="s">
        <v>653</v>
      </c>
    </row>
    <row r="139" spans="1:8">
      <c r="C139" t="s">
        <v>751</v>
      </c>
    </row>
    <row r="141" spans="1:8">
      <c r="A141" s="16" t="s">
        <v>658</v>
      </c>
    </row>
    <row r="143" spans="1:8">
      <c r="B143">
        <v>1</v>
      </c>
      <c r="C143" t="s">
        <v>659</v>
      </c>
    </row>
    <row r="144" spans="1:8">
      <c r="B144">
        <v>2</v>
      </c>
      <c r="C144" t="s">
        <v>660</v>
      </c>
    </row>
    <row r="145" spans="1:6">
      <c r="B145">
        <v>3</v>
      </c>
      <c r="C145" t="s">
        <v>661</v>
      </c>
    </row>
    <row r="148" spans="1:6">
      <c r="A148" s="16" t="s">
        <v>706</v>
      </c>
    </row>
    <row r="149" spans="1:6">
      <c r="B149" s="16" t="s">
        <v>708</v>
      </c>
      <c r="F149" s="16" t="s">
        <v>709</v>
      </c>
    </row>
    <row r="150" spans="1:6">
      <c r="B150" t="s">
        <v>707</v>
      </c>
      <c r="F150" t="s">
        <v>819</v>
      </c>
    </row>
    <row r="151" spans="1:6">
      <c r="B151" t="s">
        <v>726</v>
      </c>
      <c r="F151" t="s">
        <v>710</v>
      </c>
    </row>
    <row r="152" spans="1:6">
      <c r="B152" t="s">
        <v>727</v>
      </c>
      <c r="F152" t="s">
        <v>728</v>
      </c>
    </row>
    <row r="153" spans="1:6">
      <c r="B153" t="s">
        <v>729</v>
      </c>
      <c r="F153" t="s">
        <v>730</v>
      </c>
    </row>
    <row r="154" spans="1:6">
      <c r="B154" t="s">
        <v>731</v>
      </c>
      <c r="F154" t="s">
        <v>732</v>
      </c>
    </row>
    <row r="155" spans="1:6">
      <c r="B155" t="s">
        <v>733</v>
      </c>
      <c r="F155" t="s">
        <v>734</v>
      </c>
    </row>
    <row r="157" spans="1:6">
      <c r="B157" s="16" t="s">
        <v>711</v>
      </c>
      <c r="F157" s="16" t="s">
        <v>709</v>
      </c>
    </row>
    <row r="158" spans="1:6">
      <c r="B158" t="s">
        <v>712</v>
      </c>
      <c r="F158" t="s">
        <v>719</v>
      </c>
    </row>
    <row r="159" spans="1:6">
      <c r="B159" t="s">
        <v>713</v>
      </c>
      <c r="F159" t="s">
        <v>720</v>
      </c>
    </row>
    <row r="160" spans="1:6">
      <c r="B160" t="s">
        <v>714</v>
      </c>
      <c r="F160" t="s">
        <v>721</v>
      </c>
    </row>
    <row r="161" spans="1:12">
      <c r="B161" t="s">
        <v>715</v>
      </c>
      <c r="F161" t="s">
        <v>722</v>
      </c>
    </row>
    <row r="162" spans="1:12">
      <c r="B162" t="s">
        <v>820</v>
      </c>
      <c r="F162" t="s">
        <v>722</v>
      </c>
    </row>
    <row r="163" spans="1:12">
      <c r="B163" t="s">
        <v>716</v>
      </c>
      <c r="F163" t="s">
        <v>725</v>
      </c>
    </row>
    <row r="164" spans="1:12">
      <c r="B164" t="s">
        <v>717</v>
      </c>
      <c r="F164" t="s">
        <v>723</v>
      </c>
    </row>
    <row r="165" spans="1:12">
      <c r="B165" t="s">
        <v>718</v>
      </c>
      <c r="F165" t="s">
        <v>724</v>
      </c>
    </row>
    <row r="166" spans="1:12">
      <c r="B166" t="s">
        <v>836</v>
      </c>
      <c r="F166" t="s">
        <v>837</v>
      </c>
    </row>
    <row r="169" spans="1:12">
      <c r="A169" s="16" t="s">
        <v>827</v>
      </c>
    </row>
    <row r="171" spans="1:12">
      <c r="B171" s="70" t="s">
        <v>828</v>
      </c>
      <c r="C171" s="35"/>
      <c r="D171" s="35"/>
      <c r="E171" s="34"/>
      <c r="F171" s="71" t="s">
        <v>829</v>
      </c>
      <c r="G171" s="35"/>
      <c r="H171" s="34"/>
      <c r="I171" s="68" t="s">
        <v>835</v>
      </c>
      <c r="J171" s="35"/>
      <c r="K171" s="35"/>
      <c r="L171" s="34"/>
    </row>
    <row r="172" spans="1:12">
      <c r="B172" s="70" t="s">
        <v>833</v>
      </c>
      <c r="C172" s="35"/>
      <c r="D172" s="35"/>
      <c r="E172" s="34"/>
      <c r="F172" s="35" t="s">
        <v>847</v>
      </c>
      <c r="G172" s="35"/>
      <c r="H172" s="34"/>
      <c r="I172" s="39"/>
      <c r="J172" s="35"/>
      <c r="K172" s="35"/>
      <c r="L172" s="34"/>
    </row>
    <row r="173" spans="1:12">
      <c r="B173" s="70" t="s">
        <v>831</v>
      </c>
      <c r="C173" s="35"/>
      <c r="D173" s="35"/>
      <c r="E173" s="34"/>
      <c r="F173" s="35" t="s">
        <v>846</v>
      </c>
      <c r="G173" s="35"/>
      <c r="H173" s="34"/>
      <c r="I173" s="70" t="s">
        <v>832</v>
      </c>
      <c r="J173" s="35"/>
      <c r="K173" s="35"/>
      <c r="L173" s="34"/>
    </row>
    <row r="174" spans="1:12">
      <c r="B174" s="70" t="s">
        <v>830</v>
      </c>
      <c r="C174" s="35"/>
      <c r="D174" s="35"/>
      <c r="E174" s="34"/>
      <c r="F174" s="35">
        <v>2</v>
      </c>
      <c r="G174" s="35"/>
      <c r="H174" s="34"/>
      <c r="I174" s="39" t="s">
        <v>834</v>
      </c>
      <c r="J174" s="35"/>
      <c r="K174" s="35"/>
      <c r="L174" s="34"/>
    </row>
    <row r="175" spans="1:12">
      <c r="B175" s="69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840</v>
      </c>
    </row>
    <row r="179" spans="1:3">
      <c r="B179">
        <v>1</v>
      </c>
      <c r="C179" t="s">
        <v>841</v>
      </c>
    </row>
    <row r="180" spans="1:3">
      <c r="B180">
        <v>2</v>
      </c>
      <c r="C180" t="s">
        <v>842</v>
      </c>
    </row>
    <row r="181" spans="1:3">
      <c r="B181">
        <v>3</v>
      </c>
      <c r="C181" t="s">
        <v>843</v>
      </c>
    </row>
    <row r="182" spans="1:3">
      <c r="B182">
        <v>4</v>
      </c>
      <c r="C182" t="s">
        <v>844</v>
      </c>
    </row>
    <row r="183" spans="1:3">
      <c r="B183">
        <v>5</v>
      </c>
      <c r="C183" t="s">
        <v>845</v>
      </c>
    </row>
    <row r="186" spans="1:3">
      <c r="A186" s="16" t="s">
        <v>860</v>
      </c>
      <c r="B186" s="16"/>
    </row>
    <row r="188" spans="1:3">
      <c r="B188">
        <v>1</v>
      </c>
      <c r="C188" t="s">
        <v>861</v>
      </c>
    </row>
    <row r="189" spans="1:3">
      <c r="B189">
        <v>2</v>
      </c>
      <c r="C189" t="s">
        <v>862</v>
      </c>
    </row>
    <row r="190" spans="1:3">
      <c r="B190">
        <v>3</v>
      </c>
      <c r="C190" t="s">
        <v>863</v>
      </c>
    </row>
    <row r="191" spans="1:3">
      <c r="B191">
        <v>4</v>
      </c>
      <c r="C191" t="s">
        <v>864</v>
      </c>
    </row>
    <row r="194" spans="1:3">
      <c r="A194" s="16" t="s">
        <v>879</v>
      </c>
    </row>
    <row r="195" spans="1:3">
      <c r="B195" t="s">
        <v>880</v>
      </c>
    </row>
    <row r="196" spans="1:3">
      <c r="C196" t="s">
        <v>881</v>
      </c>
    </row>
    <row r="197" spans="1:3">
      <c r="C197" t="s">
        <v>882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topLeftCell="A85" zoomScale="145" zoomScaleNormal="145" workbookViewId="0">
      <selection activeCell="C10" sqref="C1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539</v>
      </c>
    </row>
    <row r="3" spans="1:12">
      <c r="B3" t="s">
        <v>540</v>
      </c>
    </row>
    <row r="4" spans="1:12">
      <c r="B4" t="s">
        <v>541</v>
      </c>
    </row>
    <row r="6" spans="1:12">
      <c r="B6" s="33" t="s">
        <v>545</v>
      </c>
      <c r="C6" s="34"/>
      <c r="D6" s="49" t="s">
        <v>538</v>
      </c>
    </row>
    <row r="7" spans="1:12">
      <c r="B7" s="39" t="s">
        <v>542</v>
      </c>
      <c r="C7" s="34"/>
      <c r="D7" s="24">
        <v>2300</v>
      </c>
    </row>
    <row r="8" spans="1:12">
      <c r="B8" s="39" t="s">
        <v>543</v>
      </c>
      <c r="C8" s="34"/>
      <c r="D8" s="24">
        <v>500</v>
      </c>
    </row>
    <row r="10" spans="1:12">
      <c r="A10" s="16" t="s">
        <v>587</v>
      </c>
      <c r="C10" s="53">
        <v>46008</v>
      </c>
    </row>
    <row r="11" spans="1:12">
      <c r="A11" s="16"/>
    </row>
    <row r="12" spans="1:12">
      <c r="B12" s="16" t="s">
        <v>592</v>
      </c>
      <c r="H12" s="16" t="s">
        <v>593</v>
      </c>
    </row>
    <row r="13" spans="1:12">
      <c r="B13" s="52" t="s">
        <v>589</v>
      </c>
      <c r="C13" s="49" t="s">
        <v>513</v>
      </c>
      <c r="D13" s="49" t="s">
        <v>590</v>
      </c>
      <c r="E13" s="49" t="s">
        <v>538</v>
      </c>
      <c r="F13" s="49" t="s">
        <v>591</v>
      </c>
      <c r="H13" s="52" t="s">
        <v>589</v>
      </c>
      <c r="I13" s="49" t="s">
        <v>513</v>
      </c>
      <c r="J13" s="49" t="s">
        <v>590</v>
      </c>
      <c r="K13" s="49" t="s">
        <v>538</v>
      </c>
      <c r="L13" s="49" t="s">
        <v>591</v>
      </c>
    </row>
    <row r="14" spans="1:12">
      <c r="B14" s="24">
        <v>1</v>
      </c>
      <c r="C14" s="24" t="s">
        <v>816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817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596</v>
      </c>
    </row>
    <row r="22" spans="1:12">
      <c r="B22" s="52" t="s">
        <v>589</v>
      </c>
      <c r="C22" s="49" t="s">
        <v>513</v>
      </c>
      <c r="D22" s="49" t="s">
        <v>590</v>
      </c>
      <c r="E22" s="49" t="s">
        <v>538</v>
      </c>
      <c r="F22" s="49" t="s">
        <v>591</v>
      </c>
    </row>
    <row r="23" spans="1:12">
      <c r="B23" s="24">
        <v>1</v>
      </c>
      <c r="C23" s="24" t="s">
        <v>818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546</v>
      </c>
    </row>
    <row r="31" spans="1:12">
      <c r="B31" t="s">
        <v>560</v>
      </c>
    </row>
    <row r="32" spans="1:12">
      <c r="H32" t="s">
        <v>538</v>
      </c>
    </row>
    <row r="33" spans="1:8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815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561</v>
      </c>
    </row>
    <row r="47" spans="1:8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748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574</v>
      </c>
    </row>
    <row r="61" spans="1:8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746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581</v>
      </c>
    </row>
    <row r="72" spans="1:8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3:K20"/>
  <sheetViews>
    <sheetView zoomScale="160" zoomScaleNormal="160" workbookViewId="0">
      <selection activeCell="C6" sqref="C6"/>
    </sheetView>
  </sheetViews>
  <sheetFormatPr defaultRowHeight="14.4"/>
  <sheetData>
    <row r="3" spans="1:11">
      <c r="A3" s="62" t="s">
        <v>592</v>
      </c>
      <c r="G3" s="16" t="s">
        <v>593</v>
      </c>
    </row>
    <row r="4" spans="1:11">
      <c r="A4" s="52" t="s">
        <v>589</v>
      </c>
      <c r="B4" s="49" t="s">
        <v>513</v>
      </c>
      <c r="C4" s="49" t="s">
        <v>590</v>
      </c>
      <c r="D4" s="49" t="s">
        <v>538</v>
      </c>
      <c r="E4" s="49" t="s">
        <v>591</v>
      </c>
      <c r="G4" s="52" t="s">
        <v>589</v>
      </c>
      <c r="H4" s="49" t="s">
        <v>513</v>
      </c>
      <c r="I4" s="49" t="s">
        <v>590</v>
      </c>
      <c r="J4" s="49" t="s">
        <v>538</v>
      </c>
      <c r="K4" s="49" t="s">
        <v>591</v>
      </c>
    </row>
    <row r="5" spans="1:11">
      <c r="A5" s="24">
        <v>1</v>
      </c>
      <c r="B5" s="3" t="s">
        <v>815</v>
      </c>
      <c r="C5" s="24">
        <v>0.5</v>
      </c>
      <c r="D5" s="24">
        <v>250</v>
      </c>
      <c r="E5" s="24">
        <f>C5*D5</f>
        <v>125</v>
      </c>
      <c r="G5" s="24">
        <v>1</v>
      </c>
      <c r="H5" s="24" t="s">
        <v>749</v>
      </c>
      <c r="I5" s="24">
        <v>2</v>
      </c>
      <c r="J5" s="24">
        <v>139</v>
      </c>
      <c r="K5" s="24">
        <f>I5*J5</f>
        <v>278</v>
      </c>
    </row>
    <row r="6" spans="1:11">
      <c r="A6" s="24">
        <v>2</v>
      </c>
      <c r="B6" s="24" t="s">
        <v>736</v>
      </c>
      <c r="C6" s="24">
        <v>1.8</v>
      </c>
      <c r="D6" s="24">
        <v>150</v>
      </c>
      <c r="E6" s="24">
        <f>C6*D6</f>
        <v>270</v>
      </c>
      <c r="G6" s="24">
        <v>2</v>
      </c>
      <c r="H6" s="3" t="s">
        <v>570</v>
      </c>
      <c r="I6" s="24">
        <v>1</v>
      </c>
      <c r="J6" s="24">
        <v>250</v>
      </c>
      <c r="K6" s="24">
        <f>I6*J6</f>
        <v>250</v>
      </c>
    </row>
    <row r="7" spans="1:11">
      <c r="A7" s="24">
        <v>3</v>
      </c>
      <c r="B7" s="24" t="s">
        <v>575</v>
      </c>
      <c r="C7" s="24">
        <v>1</v>
      </c>
      <c r="D7" s="24">
        <v>160</v>
      </c>
      <c r="E7" s="24">
        <f>C7*D7</f>
        <v>160</v>
      </c>
      <c r="G7" s="24">
        <v>3</v>
      </c>
      <c r="H7" s="24"/>
      <c r="I7" s="24"/>
      <c r="J7" s="24"/>
      <c r="K7" s="24">
        <f>I7*J7</f>
        <v>0</v>
      </c>
    </row>
    <row r="8" spans="1:11">
      <c r="A8" s="24">
        <v>4</v>
      </c>
      <c r="B8" s="24"/>
      <c r="C8" s="24"/>
      <c r="D8" s="24"/>
      <c r="E8" s="24">
        <f>C8*D8</f>
        <v>0</v>
      </c>
      <c r="G8" s="24"/>
      <c r="H8" s="24"/>
      <c r="I8" s="24"/>
      <c r="J8" s="24"/>
      <c r="K8" s="24">
        <f>I8*J8</f>
        <v>0</v>
      </c>
    </row>
    <row r="9" spans="1:11">
      <c r="A9" s="24">
        <v>5</v>
      </c>
      <c r="B9" s="24"/>
      <c r="C9" s="24"/>
      <c r="D9" s="24"/>
      <c r="E9" s="24">
        <f>C9*D9</f>
        <v>0</v>
      </c>
      <c r="G9" s="24"/>
      <c r="H9" s="24"/>
      <c r="I9" s="24"/>
      <c r="J9" s="24"/>
      <c r="K9" s="24">
        <f>I9*J9</f>
        <v>0</v>
      </c>
    </row>
    <row r="10" spans="1:11">
      <c r="A10" s="24"/>
      <c r="B10" s="24"/>
      <c r="C10" s="24"/>
      <c r="D10" s="24"/>
      <c r="E10" s="49">
        <f>SUM(E5:E9)</f>
        <v>555</v>
      </c>
      <c r="G10" s="24"/>
      <c r="H10" s="24"/>
      <c r="I10" s="24"/>
      <c r="J10" s="24"/>
      <c r="K10" s="49">
        <f>SUM(K5:K9)</f>
        <v>528</v>
      </c>
    </row>
    <row r="13" spans="1:11">
      <c r="A13" s="52" t="s">
        <v>589</v>
      </c>
      <c r="B13" s="49" t="s">
        <v>513</v>
      </c>
      <c r="C13" s="49" t="s">
        <v>590</v>
      </c>
      <c r="D13" s="49" t="s">
        <v>538</v>
      </c>
      <c r="E13" s="49" t="s">
        <v>591</v>
      </c>
      <c r="G13" s="61" t="s">
        <v>741</v>
      </c>
    </row>
    <row r="14" spans="1:11">
      <c r="A14" s="24">
        <v>1</v>
      </c>
      <c r="B14" s="24" t="s">
        <v>738</v>
      </c>
      <c r="C14" s="24">
        <v>2</v>
      </c>
      <c r="D14" s="24">
        <v>180</v>
      </c>
      <c r="E14" s="24">
        <f t="shared" ref="E14:E19" si="0">C14*D14</f>
        <v>360</v>
      </c>
      <c r="G14">
        <v>1</v>
      </c>
      <c r="H14" t="s">
        <v>742</v>
      </c>
    </row>
    <row r="15" spans="1:11">
      <c r="A15" s="24">
        <v>2</v>
      </c>
      <c r="B15" s="24" t="s">
        <v>737</v>
      </c>
      <c r="C15" s="24">
        <v>2</v>
      </c>
      <c r="D15" s="24">
        <v>90</v>
      </c>
      <c r="E15" s="24">
        <f t="shared" si="0"/>
        <v>180</v>
      </c>
      <c r="G15">
        <v>2</v>
      </c>
      <c r="H15" t="s">
        <v>743</v>
      </c>
    </row>
    <row r="16" spans="1:11">
      <c r="A16" s="24">
        <v>3</v>
      </c>
      <c r="B16" s="24" t="s">
        <v>588</v>
      </c>
      <c r="C16" s="24">
        <v>0.5</v>
      </c>
      <c r="D16" s="24">
        <v>250</v>
      </c>
      <c r="E16" s="24">
        <f t="shared" si="0"/>
        <v>125</v>
      </c>
      <c r="G16">
        <v>3</v>
      </c>
      <c r="H16" t="s">
        <v>744</v>
      </c>
    </row>
    <row r="17" spans="1:8">
      <c r="A17" s="24">
        <v>4</v>
      </c>
      <c r="B17" s="24" t="s">
        <v>739</v>
      </c>
      <c r="C17" s="24">
        <v>0.2</v>
      </c>
      <c r="D17" s="24">
        <v>600</v>
      </c>
      <c r="E17" s="24">
        <f t="shared" si="0"/>
        <v>120</v>
      </c>
      <c r="G17">
        <v>4</v>
      </c>
      <c r="H17" t="s">
        <v>745</v>
      </c>
    </row>
    <row r="18" spans="1:8">
      <c r="A18" s="24">
        <v>5</v>
      </c>
      <c r="B18" s="24" t="s">
        <v>740</v>
      </c>
      <c r="C18" s="24">
        <v>1</v>
      </c>
      <c r="D18" s="24">
        <v>65</v>
      </c>
      <c r="E18" s="24">
        <f t="shared" si="0"/>
        <v>65</v>
      </c>
    </row>
    <row r="19" spans="1:8">
      <c r="A19" s="24">
        <v>6</v>
      </c>
      <c r="B19" s="24" t="s">
        <v>747</v>
      </c>
      <c r="C19" s="24">
        <v>0.2</v>
      </c>
      <c r="D19" s="24">
        <v>282</v>
      </c>
      <c r="E19" s="24">
        <f t="shared" si="0"/>
        <v>56.400000000000006</v>
      </c>
    </row>
    <row r="20" spans="1:8">
      <c r="A20" s="24"/>
      <c r="B20" s="24"/>
      <c r="C20" s="24"/>
      <c r="D20" s="24"/>
      <c r="E20" s="49">
        <f>SUM(E14:E19)</f>
        <v>906.4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249"/>
  <sheetViews>
    <sheetView topLeftCell="A234" zoomScale="145" zoomScaleNormal="145" workbookViewId="0">
      <selection activeCell="E242" sqref="E242"/>
    </sheetView>
  </sheetViews>
  <sheetFormatPr defaultRowHeight="14.4"/>
  <sheetData>
    <row r="1" spans="1:4">
      <c r="A1" s="16" t="s">
        <v>607</v>
      </c>
    </row>
    <row r="2" spans="1:4">
      <c r="B2" t="s">
        <v>608</v>
      </c>
      <c r="D2" t="s">
        <v>609</v>
      </c>
    </row>
    <row r="4" spans="1:4">
      <c r="A4" s="16" t="s">
        <v>679</v>
      </c>
    </row>
    <row r="6" spans="1:4">
      <c r="B6" t="s">
        <v>680</v>
      </c>
    </row>
    <row r="7" spans="1:4">
      <c r="C7" t="s">
        <v>681</v>
      </c>
    </row>
    <row r="8" spans="1:4">
      <c r="C8" t="s">
        <v>682</v>
      </c>
    </row>
    <row r="9" spans="1:4">
      <c r="C9" t="s">
        <v>683</v>
      </c>
    </row>
    <row r="11" spans="1:4">
      <c r="C11" t="s">
        <v>684</v>
      </c>
    </row>
    <row r="13" spans="1:4">
      <c r="B13" t="s">
        <v>685</v>
      </c>
    </row>
    <row r="14" spans="1:4">
      <c r="C14" t="s">
        <v>686</v>
      </c>
    </row>
    <row r="15" spans="1:4">
      <c r="C15" t="s">
        <v>687</v>
      </c>
    </row>
    <row r="16" spans="1:4">
      <c r="C16" t="s">
        <v>688</v>
      </c>
    </row>
    <row r="17" spans="2:3">
      <c r="C17" t="s">
        <v>689</v>
      </c>
    </row>
    <row r="19" spans="2:3">
      <c r="C19" t="s">
        <v>690</v>
      </c>
    </row>
    <row r="21" spans="2:3">
      <c r="B21" t="s">
        <v>691</v>
      </c>
    </row>
    <row r="22" spans="2:3">
      <c r="C22" t="s">
        <v>692</v>
      </c>
    </row>
    <row r="23" spans="2:3">
      <c r="C23" t="s">
        <v>693</v>
      </c>
    </row>
    <row r="24" spans="2:3">
      <c r="C24" t="s">
        <v>694</v>
      </c>
    </row>
    <row r="26" spans="2:3">
      <c r="B26" t="s">
        <v>695</v>
      </c>
    </row>
    <row r="27" spans="2:3">
      <c r="C27" t="s">
        <v>696</v>
      </c>
    </row>
    <row r="28" spans="2:3">
      <c r="C28" t="s">
        <v>697</v>
      </c>
    </row>
    <row r="29" spans="2:3">
      <c r="C29" t="s">
        <v>698</v>
      </c>
    </row>
    <row r="31" spans="2:3">
      <c r="B31" t="s">
        <v>699</v>
      </c>
    </row>
    <row r="32" spans="2:3">
      <c r="C32" t="s">
        <v>700</v>
      </c>
    </row>
    <row r="33" spans="1:10">
      <c r="C33" t="s">
        <v>701</v>
      </c>
    </row>
    <row r="34" spans="1:10">
      <c r="C34" t="s">
        <v>702</v>
      </c>
    </row>
    <row r="35" spans="1:10">
      <c r="C35" t="s">
        <v>703</v>
      </c>
    </row>
    <row r="36" spans="1:10">
      <c r="C36" t="s">
        <v>704</v>
      </c>
    </row>
    <row r="38" spans="1:10">
      <c r="C38" t="s">
        <v>705</v>
      </c>
    </row>
    <row r="41" spans="1:10">
      <c r="A41" s="16" t="s">
        <v>773</v>
      </c>
    </row>
    <row r="42" spans="1:10">
      <c r="A42" s="16"/>
    </row>
    <row r="43" spans="1:10">
      <c r="A43">
        <v>1</v>
      </c>
      <c r="B43" s="63" t="s">
        <v>764</v>
      </c>
      <c r="E43">
        <v>1</v>
      </c>
      <c r="F43" s="67" t="s">
        <v>765</v>
      </c>
      <c r="I43">
        <v>1</v>
      </c>
      <c r="J43" t="s">
        <v>802</v>
      </c>
    </row>
    <row r="44" spans="1:10">
      <c r="A44">
        <v>2</v>
      </c>
      <c r="B44" s="63" t="s">
        <v>766</v>
      </c>
      <c r="E44">
        <v>2</v>
      </c>
      <c r="F44" s="67" t="s">
        <v>767</v>
      </c>
      <c r="I44">
        <v>2</v>
      </c>
      <c r="J44" t="s">
        <v>803</v>
      </c>
    </row>
    <row r="45" spans="1:10">
      <c r="A45">
        <v>3</v>
      </c>
      <c r="B45" s="63" t="s">
        <v>768</v>
      </c>
      <c r="E45">
        <v>3</v>
      </c>
      <c r="F45" s="67" t="s">
        <v>769</v>
      </c>
      <c r="I45">
        <v>3</v>
      </c>
    </row>
    <row r="46" spans="1:10">
      <c r="A46">
        <v>4</v>
      </c>
      <c r="B46" s="63" t="s">
        <v>770</v>
      </c>
      <c r="E46">
        <v>4</v>
      </c>
      <c r="F46" s="67" t="s">
        <v>771</v>
      </c>
      <c r="I46">
        <v>4</v>
      </c>
    </row>
    <row r="47" spans="1:10">
      <c r="A47">
        <v>5</v>
      </c>
      <c r="B47" s="63" t="s">
        <v>773</v>
      </c>
      <c r="E47">
        <v>5</v>
      </c>
      <c r="F47" s="29" t="s">
        <v>772</v>
      </c>
      <c r="I47">
        <v>5</v>
      </c>
    </row>
    <row r="48" spans="1:10">
      <c r="A48">
        <v>6</v>
      </c>
      <c r="B48" s="63" t="s">
        <v>775</v>
      </c>
      <c r="E48">
        <v>6</v>
      </c>
      <c r="F48" s="63" t="s">
        <v>774</v>
      </c>
      <c r="I48">
        <v>6</v>
      </c>
    </row>
    <row r="49" spans="1:10">
      <c r="A49">
        <v>7</v>
      </c>
      <c r="B49" s="63" t="s">
        <v>777</v>
      </c>
      <c r="E49">
        <v>7</v>
      </c>
      <c r="F49" t="s">
        <v>776</v>
      </c>
    </row>
    <row r="50" spans="1:10">
      <c r="E50">
        <v>8</v>
      </c>
      <c r="F50" t="s">
        <v>778</v>
      </c>
    </row>
    <row r="51" spans="1:10">
      <c r="E51">
        <v>9</v>
      </c>
      <c r="F51" t="s">
        <v>779</v>
      </c>
    </row>
    <row r="53" spans="1:10">
      <c r="B53" t="s">
        <v>780</v>
      </c>
      <c r="D53" s="64" t="s">
        <v>781</v>
      </c>
      <c r="F53" t="s">
        <v>782</v>
      </c>
      <c r="H53" t="s">
        <v>783</v>
      </c>
      <c r="J53" t="s">
        <v>784</v>
      </c>
    </row>
    <row r="54" spans="1:10">
      <c r="B54" t="s">
        <v>785</v>
      </c>
      <c r="C54" s="64"/>
      <c r="D54" s="64" t="s">
        <v>781</v>
      </c>
      <c r="F54" t="s">
        <v>782</v>
      </c>
      <c r="G54" s="65"/>
      <c r="H54" s="25" t="s">
        <v>786</v>
      </c>
      <c r="J54" t="s">
        <v>784</v>
      </c>
    </row>
    <row r="55" spans="1:10">
      <c r="B55" t="s">
        <v>787</v>
      </c>
      <c r="C55" s="64"/>
      <c r="D55" s="64" t="s">
        <v>781</v>
      </c>
      <c r="F55" t="s">
        <v>782</v>
      </c>
      <c r="G55" s="65"/>
      <c r="H55" t="s">
        <v>788</v>
      </c>
      <c r="J55" t="s">
        <v>789</v>
      </c>
    </row>
    <row r="56" spans="1:10">
      <c r="B56" t="s">
        <v>790</v>
      </c>
      <c r="C56" s="64"/>
      <c r="D56" s="64" t="s">
        <v>791</v>
      </c>
      <c r="F56" t="s">
        <v>792</v>
      </c>
      <c r="G56" s="65"/>
      <c r="H56" t="s">
        <v>793</v>
      </c>
      <c r="J56" t="s">
        <v>784</v>
      </c>
    </row>
    <row r="57" spans="1:10">
      <c r="B57" t="s">
        <v>794</v>
      </c>
      <c r="C57" s="64"/>
      <c r="D57" s="64" t="s">
        <v>795</v>
      </c>
      <c r="F57" t="s">
        <v>796</v>
      </c>
      <c r="G57" s="65"/>
      <c r="H57" s="25" t="s">
        <v>797</v>
      </c>
      <c r="J57" t="s">
        <v>789</v>
      </c>
    </row>
    <row r="58" spans="1:10">
      <c r="B58" t="s">
        <v>798</v>
      </c>
      <c r="C58" s="64"/>
      <c r="D58" s="64" t="s">
        <v>795</v>
      </c>
      <c r="F58" t="s">
        <v>796</v>
      </c>
      <c r="G58" s="65"/>
      <c r="H58" t="s">
        <v>799</v>
      </c>
      <c r="J58" t="s">
        <v>784</v>
      </c>
    </row>
    <row r="59" spans="1:10">
      <c r="B59" s="16" t="s">
        <v>800</v>
      </c>
      <c r="C59" s="16"/>
      <c r="D59" s="66" t="s">
        <v>791</v>
      </c>
      <c r="E59" s="16"/>
      <c r="F59" s="16" t="s">
        <v>792</v>
      </c>
      <c r="G59" s="16"/>
      <c r="H59" s="16" t="s">
        <v>801</v>
      </c>
      <c r="I59" s="16"/>
      <c r="J59" s="16" t="s">
        <v>784</v>
      </c>
    </row>
    <row r="63" spans="1:10">
      <c r="A63" s="16" t="s">
        <v>883</v>
      </c>
    </row>
    <row r="64" spans="1:10">
      <c r="B64" s="73" t="s">
        <v>884</v>
      </c>
    </row>
    <row r="65" spans="1:2">
      <c r="B65" t="s">
        <v>885</v>
      </c>
    </row>
    <row r="66" spans="1:2">
      <c r="B66" t="s">
        <v>886</v>
      </c>
    </row>
    <row r="67" spans="1:2">
      <c r="B67" t="s">
        <v>887</v>
      </c>
    </row>
    <row r="69" spans="1:2">
      <c r="B69" s="16" t="s">
        <v>888</v>
      </c>
    </row>
    <row r="70" spans="1:2">
      <c r="B70" t="s">
        <v>889</v>
      </c>
    </row>
    <row r="71" spans="1:2">
      <c r="B71" t="s">
        <v>890</v>
      </c>
    </row>
    <row r="73" spans="1:2">
      <c r="B73" s="16" t="s">
        <v>891</v>
      </c>
    </row>
    <row r="74" spans="1:2">
      <c r="B74" s="73" t="s">
        <v>892</v>
      </c>
    </row>
    <row r="75" spans="1:2">
      <c r="B75" s="73" t="s">
        <v>893</v>
      </c>
    </row>
    <row r="78" spans="1:2">
      <c r="A78" s="16" t="s">
        <v>912</v>
      </c>
    </row>
    <row r="80" spans="1:2">
      <c r="B80" t="s">
        <v>894</v>
      </c>
    </row>
    <row r="81" spans="2:5">
      <c r="C81" t="s">
        <v>895</v>
      </c>
    </row>
    <row r="83" spans="2:5">
      <c r="B83" t="s">
        <v>896</v>
      </c>
    </row>
    <row r="84" spans="2:5">
      <c r="C84" s="16" t="s">
        <v>897</v>
      </c>
    </row>
    <row r="85" spans="2:5">
      <c r="D85" t="s">
        <v>898</v>
      </c>
    </row>
    <row r="86" spans="2:5">
      <c r="D86" t="s">
        <v>899</v>
      </c>
    </row>
    <row r="87" spans="2:5">
      <c r="D87" t="s">
        <v>900</v>
      </c>
    </row>
    <row r="88" spans="2:5">
      <c r="E88" t="s">
        <v>901</v>
      </c>
    </row>
    <row r="89" spans="2:5">
      <c r="E89" t="s">
        <v>902</v>
      </c>
    </row>
    <row r="90" spans="2:5">
      <c r="E90" t="s">
        <v>903</v>
      </c>
    </row>
    <row r="91" spans="2:5">
      <c r="D91" s="22" t="s">
        <v>904</v>
      </c>
    </row>
    <row r="93" spans="2:5">
      <c r="C93" s="16" t="s">
        <v>905</v>
      </c>
    </row>
    <row r="94" spans="2:5">
      <c r="D94" t="s">
        <v>906</v>
      </c>
    </row>
    <row r="95" spans="2:5">
      <c r="D95" t="s">
        <v>907</v>
      </c>
    </row>
    <row r="96" spans="2:5">
      <c r="D96" t="s">
        <v>908</v>
      </c>
    </row>
    <row r="97" spans="2:4">
      <c r="D97" t="s">
        <v>909</v>
      </c>
    </row>
    <row r="99" spans="2:4">
      <c r="D99" s="22" t="s">
        <v>910</v>
      </c>
    </row>
    <row r="101" spans="2:4">
      <c r="B101" s="16" t="s">
        <v>911</v>
      </c>
    </row>
    <row r="103" spans="2:4">
      <c r="C103" t="s">
        <v>913</v>
      </c>
    </row>
    <row r="104" spans="2:4">
      <c r="C104" t="s">
        <v>914</v>
      </c>
    </row>
    <row r="105" spans="2:4">
      <c r="D105" t="s">
        <v>915</v>
      </c>
    </row>
    <row r="106" spans="2:4">
      <c r="D106" t="s">
        <v>916</v>
      </c>
    </row>
    <row r="107" spans="2:4">
      <c r="C107" t="s">
        <v>917</v>
      </c>
    </row>
    <row r="108" spans="2:4">
      <c r="C108" t="s">
        <v>918</v>
      </c>
    </row>
    <row r="110" spans="2:4">
      <c r="C110" s="22" t="s">
        <v>919</v>
      </c>
    </row>
    <row r="112" spans="2:4">
      <c r="B112" s="16" t="s">
        <v>920</v>
      </c>
    </row>
    <row r="113" spans="2:4">
      <c r="C113" t="s">
        <v>921</v>
      </c>
    </row>
    <row r="114" spans="2:4">
      <c r="D114" t="s">
        <v>922</v>
      </c>
    </row>
    <row r="115" spans="2:4">
      <c r="D115" t="s">
        <v>923</v>
      </c>
    </row>
    <row r="117" spans="2:4">
      <c r="C117" t="s">
        <v>924</v>
      </c>
    </row>
    <row r="118" spans="2:4">
      <c r="D118" t="s">
        <v>925</v>
      </c>
    </row>
    <row r="119" spans="2:4">
      <c r="D119" t="s">
        <v>926</v>
      </c>
    </row>
    <row r="121" spans="2:4">
      <c r="B121" s="16" t="s">
        <v>927</v>
      </c>
    </row>
    <row r="122" spans="2:4">
      <c r="B122" s="16"/>
    </row>
    <row r="123" spans="2:4">
      <c r="B123" s="16"/>
      <c r="C123" t="s">
        <v>928</v>
      </c>
    </row>
    <row r="124" spans="2:4">
      <c r="D124" s="74" t="s">
        <v>929</v>
      </c>
    </row>
    <row r="126" spans="2:4">
      <c r="C126" t="s">
        <v>930</v>
      </c>
    </row>
    <row r="127" spans="2:4">
      <c r="C127" t="s">
        <v>931</v>
      </c>
    </row>
    <row r="129" spans="2:11">
      <c r="C129" s="16" t="s">
        <v>932</v>
      </c>
    </row>
    <row r="130" spans="2:11">
      <c r="D130" t="s">
        <v>933</v>
      </c>
    </row>
    <row r="132" spans="2:11">
      <c r="B132" s="16" t="s">
        <v>934</v>
      </c>
    </row>
    <row r="133" spans="2:11">
      <c r="C133" t="s">
        <v>935</v>
      </c>
    </row>
    <row r="134" spans="2:11">
      <c r="C134" t="s">
        <v>936</v>
      </c>
    </row>
    <row r="135" spans="2:11">
      <c r="C135" t="s">
        <v>937</v>
      </c>
    </row>
    <row r="136" spans="2:11">
      <c r="C136" t="s">
        <v>938</v>
      </c>
    </row>
    <row r="138" spans="2:11">
      <c r="B138" s="16" t="s">
        <v>939</v>
      </c>
    </row>
    <row r="139" spans="2:11">
      <c r="C139" s="22" t="s">
        <v>940</v>
      </c>
    </row>
    <row r="140" spans="2:11">
      <c r="C140" s="22"/>
    </row>
    <row r="141" spans="2:11">
      <c r="E141" s="77" t="s">
        <v>947</v>
      </c>
      <c r="F141" s="6"/>
      <c r="H141" s="2" t="s">
        <v>948</v>
      </c>
      <c r="I141" s="6"/>
    </row>
    <row r="142" spans="2:11">
      <c r="C142" s="24" t="s">
        <v>534</v>
      </c>
      <c r="E142" s="75"/>
      <c r="F142" s="8"/>
      <c r="H142" s="3"/>
      <c r="I142" s="8"/>
      <c r="K142" s="24" t="s">
        <v>949</v>
      </c>
    </row>
    <row r="143" spans="2:11">
      <c r="E143" s="76"/>
      <c r="F143" s="11"/>
      <c r="H143" s="4"/>
      <c r="I143" s="11"/>
    </row>
    <row r="144" spans="2:11">
      <c r="C144" s="22"/>
    </row>
    <row r="145" spans="1:9">
      <c r="C145" s="22"/>
    </row>
    <row r="146" spans="1:9">
      <c r="B146" s="25" t="s">
        <v>946</v>
      </c>
      <c r="C146" s="22"/>
    </row>
    <row r="148" spans="1:9">
      <c r="A148" s="16" t="s">
        <v>941</v>
      </c>
    </row>
    <row r="149" spans="1:9">
      <c r="B149" t="s">
        <v>942</v>
      </c>
    </row>
    <row r="150" spans="1:9">
      <c r="B150" t="s">
        <v>943</v>
      </c>
    </row>
    <row r="151" spans="1:9">
      <c r="B151" t="s">
        <v>944</v>
      </c>
    </row>
    <row r="152" spans="1:9">
      <c r="B152" t="s">
        <v>945</v>
      </c>
    </row>
    <row r="153" spans="1:9">
      <c r="B153" t="s">
        <v>975</v>
      </c>
    </row>
    <row r="155" spans="1:9">
      <c r="A155" s="16" t="s">
        <v>950</v>
      </c>
    </row>
    <row r="157" spans="1:9">
      <c r="B157" t="s">
        <v>951</v>
      </c>
      <c r="F157" t="s">
        <v>955</v>
      </c>
    </row>
    <row r="158" spans="1:9">
      <c r="B158" t="s">
        <v>935</v>
      </c>
      <c r="F158" t="s">
        <v>956</v>
      </c>
      <c r="I158" t="s">
        <v>962</v>
      </c>
    </row>
    <row r="159" spans="1:9">
      <c r="B159" t="s">
        <v>952</v>
      </c>
      <c r="F159" t="s">
        <v>957</v>
      </c>
      <c r="I159" t="s">
        <v>961</v>
      </c>
    </row>
    <row r="160" spans="1:9">
      <c r="B160" t="s">
        <v>953</v>
      </c>
      <c r="F160" t="s">
        <v>958</v>
      </c>
    </row>
    <row r="161" spans="2:9">
      <c r="B161" t="s">
        <v>954</v>
      </c>
      <c r="F161" t="s">
        <v>959</v>
      </c>
      <c r="I161" t="s">
        <v>960</v>
      </c>
    </row>
    <row r="163" spans="2:9">
      <c r="B163" t="s">
        <v>963</v>
      </c>
    </row>
    <row r="165" spans="2:9">
      <c r="B165" s="16" t="s">
        <v>964</v>
      </c>
    </row>
    <row r="166" spans="2:9">
      <c r="C166" t="s">
        <v>965</v>
      </c>
    </row>
    <row r="167" spans="2:9">
      <c r="C167" t="s">
        <v>966</v>
      </c>
    </row>
    <row r="168" spans="2:9">
      <c r="C168" t="s">
        <v>967</v>
      </c>
    </row>
    <row r="170" spans="2:9">
      <c r="B170" s="16" t="s">
        <v>968</v>
      </c>
    </row>
    <row r="171" spans="2:9">
      <c r="C171" t="s">
        <v>969</v>
      </c>
    </row>
    <row r="173" spans="2:9">
      <c r="C173" t="s">
        <v>970</v>
      </c>
    </row>
    <row r="174" spans="2:9">
      <c r="D174" t="s">
        <v>971</v>
      </c>
    </row>
    <row r="175" spans="2:9">
      <c r="D175" t="s">
        <v>972</v>
      </c>
    </row>
    <row r="176" spans="2:9">
      <c r="D176" t="s">
        <v>973</v>
      </c>
    </row>
    <row r="177" spans="2:3">
      <c r="C177" t="s">
        <v>974</v>
      </c>
    </row>
    <row r="179" spans="2:3">
      <c r="B179" s="16" t="s">
        <v>976</v>
      </c>
    </row>
    <row r="180" spans="2:3">
      <c r="B180" t="s">
        <v>977</v>
      </c>
    </row>
    <row r="181" spans="2:3">
      <c r="C181" t="s">
        <v>978</v>
      </c>
    </row>
    <row r="182" spans="2:3">
      <c r="C182" t="s">
        <v>979</v>
      </c>
    </row>
    <row r="183" spans="2:3">
      <c r="C183" t="s">
        <v>980</v>
      </c>
    </row>
    <row r="184" spans="2:3">
      <c r="C184" t="s">
        <v>975</v>
      </c>
    </row>
    <row r="185" spans="2:3">
      <c r="C185" t="s">
        <v>981</v>
      </c>
    </row>
    <row r="187" spans="2:3">
      <c r="B187" s="16" t="s">
        <v>982</v>
      </c>
    </row>
    <row r="188" spans="2:3">
      <c r="C188" t="s">
        <v>983</v>
      </c>
    </row>
    <row r="189" spans="2:3">
      <c r="C189" t="s">
        <v>984</v>
      </c>
    </row>
    <row r="190" spans="2:3">
      <c r="C190" t="s">
        <v>985</v>
      </c>
    </row>
    <row r="191" spans="2:3">
      <c r="C191" t="s">
        <v>986</v>
      </c>
    </row>
    <row r="192" spans="2:3">
      <c r="C192" t="s">
        <v>987</v>
      </c>
    </row>
    <row r="193" spans="1:3">
      <c r="C193" t="s">
        <v>988</v>
      </c>
    </row>
    <row r="195" spans="1:3">
      <c r="A195" s="16" t="s">
        <v>989</v>
      </c>
    </row>
    <row r="196" spans="1:3">
      <c r="B196" t="s">
        <v>990</v>
      </c>
    </row>
    <row r="197" spans="1:3">
      <c r="C197" t="s">
        <v>991</v>
      </c>
    </row>
    <row r="198" spans="1:3">
      <c r="C198" t="s">
        <v>992</v>
      </c>
    </row>
    <row r="199" spans="1:3">
      <c r="C199" t="s">
        <v>993</v>
      </c>
    </row>
    <row r="201" spans="1:3">
      <c r="B201" t="s">
        <v>994</v>
      </c>
    </row>
    <row r="202" spans="1:3">
      <c r="C202" t="s">
        <v>995</v>
      </c>
    </row>
    <row r="203" spans="1:3">
      <c r="C203" t="s">
        <v>996</v>
      </c>
    </row>
    <row r="204" spans="1:3">
      <c r="C204" t="s">
        <v>997</v>
      </c>
    </row>
    <row r="205" spans="1:3">
      <c r="C205" t="s">
        <v>998</v>
      </c>
    </row>
    <row r="206" spans="1:3">
      <c r="C206" t="s">
        <v>999</v>
      </c>
    </row>
    <row r="208" spans="1:3">
      <c r="B208" t="s">
        <v>1000</v>
      </c>
    </row>
    <row r="210" spans="2:4">
      <c r="B210" s="16" t="s">
        <v>1001</v>
      </c>
    </row>
    <row r="211" spans="2:4">
      <c r="C211" t="s">
        <v>1002</v>
      </c>
    </row>
    <row r="212" spans="2:4">
      <c r="D212" t="s">
        <v>1003</v>
      </c>
    </row>
    <row r="213" spans="2:4">
      <c r="D213" t="s">
        <v>1004</v>
      </c>
    </row>
    <row r="214" spans="2:4">
      <c r="D214" t="s">
        <v>1005</v>
      </c>
    </row>
    <row r="216" spans="2:4">
      <c r="C216" t="s">
        <v>1006</v>
      </c>
    </row>
    <row r="217" spans="2:4">
      <c r="D217" t="s">
        <v>1007</v>
      </c>
    </row>
    <row r="218" spans="2:4">
      <c r="D218" t="s">
        <v>1008</v>
      </c>
    </row>
    <row r="219" spans="2:4">
      <c r="D219" t="s">
        <v>1009</v>
      </c>
    </row>
    <row r="221" spans="2:4">
      <c r="B221" s="16" t="s">
        <v>1010</v>
      </c>
    </row>
    <row r="222" spans="2:4">
      <c r="C222" t="s">
        <v>1011</v>
      </c>
    </row>
    <row r="223" spans="2:4">
      <c r="D223" t="s">
        <v>1012</v>
      </c>
    </row>
    <row r="224" spans="2:4">
      <c r="D224" t="s">
        <v>1013</v>
      </c>
    </row>
    <row r="225" spans="2:4">
      <c r="D225" t="s">
        <v>1014</v>
      </c>
    </row>
    <row r="226" spans="2:4">
      <c r="D226" t="s">
        <v>1015</v>
      </c>
    </row>
    <row r="228" spans="2:4">
      <c r="C228" t="s">
        <v>1016</v>
      </c>
    </row>
    <row r="229" spans="2:4">
      <c r="D229" t="s">
        <v>1017</v>
      </c>
    </row>
    <row r="230" spans="2:4">
      <c r="D230" t="s">
        <v>1018</v>
      </c>
    </row>
    <row r="232" spans="2:4">
      <c r="B232" s="16" t="s">
        <v>1019</v>
      </c>
    </row>
    <row r="233" spans="2:4">
      <c r="B233" s="16"/>
      <c r="C233" s="16" t="s">
        <v>1022</v>
      </c>
    </row>
    <row r="234" spans="2:4">
      <c r="D234" t="s">
        <v>1020</v>
      </c>
    </row>
    <row r="235" spans="2:4">
      <c r="D235" t="s">
        <v>1021</v>
      </c>
    </row>
    <row r="237" spans="2:4">
      <c r="C237" s="16" t="s">
        <v>1023</v>
      </c>
    </row>
    <row r="238" spans="2:4">
      <c r="D238" t="s">
        <v>1024</v>
      </c>
    </row>
    <row r="239" spans="2:4">
      <c r="D239" t="s">
        <v>1025</v>
      </c>
    </row>
    <row r="240" spans="2:4">
      <c r="D240" t="s">
        <v>1026</v>
      </c>
    </row>
    <row r="242" spans="3:4">
      <c r="C242" s="16" t="s">
        <v>1028</v>
      </c>
    </row>
    <row r="243" spans="3:4">
      <c r="D243" t="s">
        <v>1027</v>
      </c>
    </row>
    <row r="244" spans="3:4">
      <c r="D244" t="s">
        <v>1029</v>
      </c>
    </row>
    <row r="246" spans="3:4">
      <c r="C246" t="s">
        <v>1030</v>
      </c>
    </row>
    <row r="247" spans="3:4">
      <c r="D247" t="s">
        <v>1031</v>
      </c>
    </row>
    <row r="248" spans="3:4">
      <c r="D248" t="s">
        <v>1032</v>
      </c>
    </row>
    <row r="249" spans="3:4">
      <c r="D249" t="s">
        <v>1033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2:E14"/>
  <sheetViews>
    <sheetView zoomScale="160" zoomScaleNormal="160" workbookViewId="0">
      <selection activeCell="F10" sqref="F10"/>
    </sheetView>
  </sheetViews>
  <sheetFormatPr defaultRowHeight="14.4"/>
  <sheetData>
    <row r="2" spans="1:5">
      <c r="A2" s="16" t="s">
        <v>814</v>
      </c>
    </row>
    <row r="4" spans="1:5">
      <c r="A4">
        <v>1</v>
      </c>
      <c r="B4" t="s">
        <v>804</v>
      </c>
      <c r="E4">
        <v>30</v>
      </c>
    </row>
    <row r="5" spans="1:5">
      <c r="A5">
        <v>2</v>
      </c>
      <c r="B5" t="s">
        <v>805</v>
      </c>
      <c r="E5">
        <v>60</v>
      </c>
    </row>
    <row r="6" spans="1:5">
      <c r="A6">
        <v>3</v>
      </c>
      <c r="B6" t="s">
        <v>806</v>
      </c>
      <c r="E6">
        <v>80</v>
      </c>
    </row>
    <row r="8" spans="1:5">
      <c r="A8">
        <v>1</v>
      </c>
      <c r="B8" t="s">
        <v>807</v>
      </c>
      <c r="E8">
        <v>180</v>
      </c>
    </row>
    <row r="9" spans="1:5">
      <c r="A9">
        <v>2</v>
      </c>
      <c r="B9" t="s">
        <v>808</v>
      </c>
      <c r="E9">
        <v>40</v>
      </c>
    </row>
    <row r="10" spans="1:5">
      <c r="A10">
        <v>3</v>
      </c>
      <c r="B10" t="s">
        <v>809</v>
      </c>
      <c r="E10">
        <v>12</v>
      </c>
    </row>
    <row r="11" spans="1:5">
      <c r="A11">
        <v>4</v>
      </c>
      <c r="B11" t="s">
        <v>812</v>
      </c>
      <c r="E11">
        <v>7</v>
      </c>
    </row>
    <row r="12" spans="1:5">
      <c r="A12">
        <v>5</v>
      </c>
      <c r="B12" t="s">
        <v>813</v>
      </c>
      <c r="E12">
        <v>8</v>
      </c>
    </row>
    <row r="13" spans="1:5">
      <c r="A13">
        <v>6</v>
      </c>
      <c r="B13" t="s">
        <v>811</v>
      </c>
      <c r="E13">
        <v>9</v>
      </c>
    </row>
    <row r="14" spans="1:5">
      <c r="A14">
        <v>7</v>
      </c>
      <c r="B14" t="s">
        <v>810</v>
      </c>
      <c r="E14">
        <v>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6:E28"/>
  <sheetViews>
    <sheetView tabSelected="1" zoomScale="145" zoomScaleNormal="145" workbookViewId="0">
      <selection activeCell="B28" sqref="B28"/>
    </sheetView>
  </sheetViews>
  <sheetFormatPr defaultRowHeight="14.4"/>
  <cols>
    <col min="3" max="3" width="8.88671875" customWidth="1"/>
    <col min="5" max="5" width="22.33203125" customWidth="1"/>
  </cols>
  <sheetData>
    <row r="6" spans="2:5">
      <c r="E6" s="18"/>
    </row>
    <row r="12" spans="2:5">
      <c r="B12" s="78"/>
      <c r="C12" s="78"/>
      <c r="D12" s="78"/>
      <c r="E12" s="78"/>
    </row>
    <row r="13" spans="2:5">
      <c r="B13" s="78"/>
      <c r="C13" s="78"/>
      <c r="D13" s="78"/>
      <c r="E13" s="78"/>
    </row>
    <row r="14" spans="2:5">
      <c r="B14" s="78"/>
      <c r="C14" s="78"/>
      <c r="D14" s="78"/>
      <c r="E14" s="78"/>
    </row>
    <row r="15" spans="2:5">
      <c r="B15" s="78"/>
      <c r="C15" s="78"/>
      <c r="D15" s="78"/>
      <c r="E15" s="78"/>
    </row>
    <row r="16" spans="2:5">
      <c r="B16" s="78"/>
      <c r="C16" s="79"/>
      <c r="D16" s="78"/>
      <c r="E16" s="78"/>
    </row>
    <row r="17" spans="1:5">
      <c r="B17" s="78"/>
      <c r="C17" s="79"/>
      <c r="D17" s="78"/>
      <c r="E17" s="78"/>
    </row>
    <row r="18" spans="1:5">
      <c r="B18" s="78"/>
      <c r="C18" s="78"/>
      <c r="D18" s="78"/>
      <c r="E18" s="78"/>
    </row>
    <row r="23" spans="1:5">
      <c r="A23" s="16" t="s">
        <v>1034</v>
      </c>
    </row>
    <row r="24" spans="1:5">
      <c r="B24" t="s">
        <v>1035</v>
      </c>
    </row>
    <row r="25" spans="1:5">
      <c r="B25" t="s">
        <v>514</v>
      </c>
    </row>
    <row r="26" spans="1:5">
      <c r="B26" t="s">
        <v>1036</v>
      </c>
    </row>
    <row r="27" spans="1:5">
      <c r="B27" t="s">
        <v>1037</v>
      </c>
    </row>
    <row r="28" spans="1:5">
      <c r="B28" t="s">
        <v>1038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План</vt:lpstr>
      <vt:lpstr>kcal</vt:lpstr>
      <vt:lpstr>Примерни</vt:lpstr>
      <vt:lpstr>Изпити</vt:lpstr>
      <vt:lpstr>Електро цени</vt:lpstr>
      <vt:lpstr>Diagram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2026-01-09T13:34:29Z</dcterms:modified>
</cp:coreProperties>
</file>