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firstSheet="1" activeTab="10"/>
  </bookViews>
  <sheets>
    <sheet name="Sheet1" sheetId="1" r:id="rId1"/>
    <sheet name="План" sheetId="2" r:id="rId2"/>
    <sheet name="kcal" sheetId="3" r:id="rId3"/>
    <sheet name="Банка" sheetId="5" r:id="rId4"/>
    <sheet name="Здраве" sheetId="8" r:id="rId5"/>
    <sheet name="Електро цени" sheetId="6" r:id="rId6"/>
    <sheet name="Diagram" sheetId="7" r:id="rId7"/>
    <sheet name="Свършени задачи" sheetId="9" r:id="rId8"/>
    <sheet name="Седмица" sheetId="10" r:id="rId9"/>
    <sheet name="Инвестиции" sheetId="11" r:id="rId10"/>
    <sheet name="Родословно дърво" sheetId="12" r:id="rId11"/>
    <sheet name="Книги" sheetId="13" r:id="rId12"/>
  </sheets>
  <calcPr calcId="124519"/>
</workbook>
</file>

<file path=xl/calcChain.xml><?xml version="1.0" encoding="utf-8"?>
<calcChain xmlns="http://schemas.openxmlformats.org/spreadsheetml/2006/main">
  <c r="K32" i="12"/>
  <c r="F36"/>
  <c r="C36"/>
  <c r="L212" i="5"/>
  <c r="M212" s="1"/>
  <c r="L204"/>
  <c r="M204" s="1"/>
  <c r="F27" i="3"/>
  <c r="F26"/>
  <c r="F25"/>
  <c r="F24"/>
  <c r="F23"/>
  <c r="F18"/>
  <c r="F17"/>
  <c r="F16"/>
  <c r="F15"/>
  <c r="F14"/>
  <c r="L18"/>
  <c r="L17"/>
  <c r="L16"/>
  <c r="L15"/>
  <c r="L14"/>
  <c r="F28" l="1"/>
  <c r="F19"/>
  <c r="L19"/>
</calcChain>
</file>

<file path=xl/sharedStrings.xml><?xml version="1.0" encoding="utf-8"?>
<sst xmlns="http://schemas.openxmlformats.org/spreadsheetml/2006/main" count="1916" uniqueCount="1659">
  <si>
    <t>Мисъл</t>
  </si>
  <si>
    <t>Емоция</t>
  </si>
  <si>
    <t>Действие</t>
  </si>
  <si>
    <t>Резултат</t>
  </si>
  <si>
    <t>----&gt;</t>
  </si>
  <si>
    <t>Обратно към мисълта</t>
  </si>
  <si>
    <t>подсъзнание</t>
  </si>
  <si>
    <t>1. Mind (thoughts) → Emotions</t>
  </si>
  <si>
    <t>A thought in the mind often triggers an emotional response.</t>
  </si>
  <si>
    <t>Example:</t>
  </si>
  <si>
    <r>
      <rPr>
        <b/>
        <sz val="11"/>
        <color theme="1"/>
        <rFont val="Calibri"/>
        <family val="2"/>
        <scheme val="minor"/>
      </rPr>
      <t>Thought</t>
    </r>
    <r>
      <rPr>
        <sz val="11"/>
        <color theme="1"/>
        <rFont val="Calibri"/>
        <family val="2"/>
        <scheme val="minor"/>
      </rPr>
      <t>: “What if I fail this presentation?”</t>
    </r>
  </si>
  <si>
    <r>
      <rPr>
        <b/>
        <sz val="11"/>
        <color theme="1"/>
        <rFont val="Calibri"/>
        <family val="2"/>
        <scheme val="minor"/>
      </rPr>
      <t>Emotion</t>
    </r>
    <r>
      <rPr>
        <sz val="11"/>
        <color theme="1"/>
        <rFont val="Calibri"/>
        <family val="2"/>
        <scheme val="minor"/>
      </rPr>
      <t>: anxiety, fear.</t>
    </r>
  </si>
  <si>
    <r>
      <rPr>
        <b/>
        <sz val="11"/>
        <color theme="1"/>
        <rFont val="Calibri"/>
        <family val="2"/>
        <scheme val="minor"/>
      </rPr>
      <t>Thought</t>
    </r>
    <r>
      <rPr>
        <sz val="11"/>
        <color theme="1"/>
        <rFont val="Calibri"/>
        <family val="2"/>
        <scheme val="minor"/>
      </rPr>
      <t>: “I’m prepared, this is my chance to grow.”</t>
    </r>
  </si>
  <si>
    <r>
      <rPr>
        <b/>
        <sz val="11"/>
        <color theme="1"/>
        <rFont val="Calibri"/>
        <family val="2"/>
        <scheme val="minor"/>
      </rPr>
      <t>Emotion</t>
    </r>
    <r>
      <rPr>
        <sz val="11"/>
        <color theme="1"/>
        <rFont val="Calibri"/>
        <family val="2"/>
        <scheme val="minor"/>
      </rPr>
      <t>: confidence, excitement.</t>
    </r>
  </si>
  <si>
    <t>2. Emotions → Actions</t>
  </si>
  <si>
    <t>Emotions influence behavior strongly.</t>
  </si>
  <si>
    <t>Fear might cause you to avoid, while confidence makes you take action.</t>
  </si>
  <si>
    <r>
      <t xml:space="preserve">Emotion: </t>
    </r>
    <r>
      <rPr>
        <b/>
        <sz val="11"/>
        <color theme="1"/>
        <rFont val="Calibri"/>
        <family val="2"/>
        <scheme val="minor"/>
      </rPr>
      <t>fea</t>
    </r>
    <r>
      <rPr>
        <sz val="11"/>
        <color theme="1"/>
        <rFont val="Calibri"/>
        <family val="2"/>
        <scheme val="minor"/>
      </rPr>
      <t>r → Action: procrastinate, avoid speaking.</t>
    </r>
  </si>
  <si>
    <r>
      <t xml:space="preserve">Emotion: </t>
    </r>
    <r>
      <rPr>
        <b/>
        <sz val="11"/>
        <color theme="1"/>
        <rFont val="Calibri"/>
        <family val="2"/>
        <scheme val="minor"/>
      </rPr>
      <t>confidence</t>
    </r>
    <r>
      <rPr>
        <sz val="11"/>
        <color theme="1"/>
        <rFont val="Calibri"/>
        <family val="2"/>
        <scheme val="minor"/>
      </rPr>
      <t xml:space="preserve"> → Action: prepare and deliver your best.</t>
    </r>
  </si>
  <si>
    <t>3. Actions → Results → Reinforce Thoughts</t>
  </si>
  <si>
    <t>If you acted with courage and succeeded, your mind reinforces “I can do this”.</t>
  </si>
  <si>
    <r>
      <rPr>
        <b/>
        <sz val="11"/>
        <color theme="1"/>
        <rFont val="Calibri"/>
        <family val="2"/>
        <scheme val="minor"/>
      </rPr>
      <t>Actions create results</t>
    </r>
    <r>
      <rPr>
        <sz val="11"/>
        <color theme="1"/>
        <rFont val="Calibri"/>
        <family val="2"/>
        <scheme val="minor"/>
      </rPr>
      <t>, which loop back to the mind</t>
    </r>
  </si>
  <si>
    <t>If you avoided, your mind reinforces “I can’t handle this”.</t>
  </si>
  <si>
    <t>This cycle builds either a positive upward spiral or a negative downward spiral</t>
  </si>
  <si>
    <t>Why “frequency” matters</t>
  </si>
  <si>
    <t>Some teachers (like Jim Rohn, Napoleon Hill, or even modern neuroscience + quantum psychology ideas) describe attitude as the “frequency” you broadcast:</t>
  </si>
  <si>
    <r>
      <rPr>
        <b/>
        <sz val="11"/>
        <color theme="1"/>
        <rFont val="Calibri"/>
        <family val="2"/>
        <scheme val="minor"/>
      </rPr>
      <t>Positive thoughts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empowering emotions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high frequency</t>
    </r>
    <r>
      <rPr>
        <sz val="11"/>
        <color theme="1"/>
        <rFont val="Calibri"/>
        <family val="2"/>
        <scheme val="minor"/>
      </rPr>
      <t xml:space="preserve"> (attracts opportunity, cooperation).</t>
    </r>
  </si>
  <si>
    <r>
      <rPr>
        <b/>
        <sz val="11"/>
        <color theme="1"/>
        <rFont val="Calibri"/>
        <family val="2"/>
        <scheme val="minor"/>
      </rPr>
      <t>Negative thoughts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draining emotions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low frequency</t>
    </r>
    <r>
      <rPr>
        <sz val="11"/>
        <color theme="1"/>
        <rFont val="Calibri"/>
        <family val="2"/>
        <scheme val="minor"/>
      </rPr>
      <t xml:space="preserve"> (creates resistance, missed chances).</t>
    </r>
  </si>
  <si>
    <t>Conscious vs. Subconscious mind</t>
  </si>
  <si>
    <t>Conscious mind</t>
  </si>
  <si>
    <t>The part you’re aware of.</t>
  </si>
  <si>
    <t>Logical, analytical, makes decisions.</t>
  </si>
  <si>
    <t>Handles short-term focus (what you’re thinking right now)</t>
  </si>
  <si>
    <t>Subconscious mind</t>
  </si>
  <si>
    <t>Stores beliefs, habits, memories, and automatic patterns.</t>
  </si>
  <si>
    <t>Works 24/7, even when you’re not paying attention.</t>
  </si>
  <si>
    <r>
      <t xml:space="preserve">Influences about </t>
    </r>
    <r>
      <rPr>
        <b/>
        <sz val="11"/>
        <color theme="1"/>
        <rFont val="Calibri"/>
        <family val="2"/>
        <scheme val="minor"/>
      </rPr>
      <t>90–95% of your behavior</t>
    </r>
    <r>
      <rPr>
        <sz val="11"/>
        <color theme="1"/>
        <rFont val="Calibri"/>
        <family val="2"/>
        <scheme val="minor"/>
      </rPr>
      <t>.</t>
    </r>
  </si>
  <si>
    <t>Doesn’t judge — it just runs the “programs” you’ve given it over time</t>
  </si>
  <si>
    <t>Brain = hardware</t>
  </si>
  <si>
    <t>Mind=software</t>
  </si>
  <si>
    <t>подсз е командния център управляващ целия ни живот</t>
  </si>
  <si>
    <r>
      <t xml:space="preserve">Your conscious mind </t>
    </r>
    <r>
      <rPr>
        <b/>
        <sz val="11"/>
        <color theme="1"/>
        <rFont val="Calibri"/>
        <family val="2"/>
        <scheme val="minor"/>
      </rPr>
      <t>plants seeds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thoughts</t>
    </r>
    <r>
      <rPr>
        <sz val="11"/>
        <color theme="1"/>
        <rFont val="Calibri"/>
        <family val="2"/>
        <scheme val="minor"/>
      </rPr>
      <t>), and the subconscious</t>
    </r>
    <r>
      <rPr>
        <b/>
        <sz val="11"/>
        <color theme="1"/>
        <rFont val="Calibri"/>
        <family val="2"/>
        <scheme val="minor"/>
      </rPr>
      <t xml:space="preserve"> grows them into automatic emotions + actions</t>
    </r>
  </si>
  <si>
    <t>Attitude, Frequency</t>
  </si>
  <si>
    <t>минало</t>
  </si>
  <si>
    <t>провал</t>
  </si>
  <si>
    <t>успех</t>
  </si>
  <si>
    <t>действията които ти дават хубави емоции</t>
  </si>
  <si>
    <r>
      <rPr>
        <b/>
        <sz val="11"/>
        <color theme="1"/>
        <rFont val="Calibri"/>
        <family val="2"/>
        <scheme val="minor"/>
      </rPr>
      <t>Conscious</t>
    </r>
    <r>
      <rPr>
        <sz val="11"/>
        <color theme="1"/>
        <rFont val="Calibri"/>
        <family val="2"/>
        <scheme val="minor"/>
      </rPr>
      <t>: You decide to go to the gym.</t>
    </r>
  </si>
  <si>
    <r>
      <rPr>
        <b/>
        <sz val="11"/>
        <color theme="1"/>
        <rFont val="Calibri"/>
        <family val="2"/>
        <scheme val="minor"/>
      </rPr>
      <t>Subconscious belief</t>
    </r>
    <r>
      <rPr>
        <sz val="11"/>
        <color theme="1"/>
        <rFont val="Calibri"/>
        <family val="2"/>
        <scheme val="minor"/>
      </rPr>
      <t>: “I always quit, I’m not disciplined.”</t>
    </r>
  </si>
  <si>
    <r>
      <rPr>
        <b/>
        <sz val="11"/>
        <color theme="1"/>
        <rFont val="Calibri"/>
        <family val="2"/>
        <scheme val="minor"/>
      </rPr>
      <t>Emotion</t>
    </r>
    <r>
      <rPr>
        <sz val="11"/>
        <color theme="1"/>
        <rFont val="Calibri"/>
        <family val="2"/>
        <scheme val="minor"/>
      </rPr>
      <t>: Resistance, laziness.</t>
    </r>
  </si>
  <si>
    <r>
      <rPr>
        <b/>
        <sz val="11"/>
        <color theme="1"/>
        <rFont val="Calibri"/>
        <family val="2"/>
        <scheme val="minor"/>
      </rPr>
      <t>Action</t>
    </r>
    <r>
      <rPr>
        <sz val="11"/>
        <color theme="1"/>
        <rFont val="Calibri"/>
        <family val="2"/>
        <scheme val="minor"/>
      </rPr>
      <t>: Skip the gym.</t>
    </r>
  </si>
  <si>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Reinforces belief.</t>
    </r>
  </si>
  <si>
    <r>
      <rPr>
        <b/>
        <sz val="11"/>
        <color theme="1"/>
        <rFont val="Calibri"/>
        <family val="2"/>
        <scheme val="minor"/>
      </rPr>
      <t>Emotion</t>
    </r>
    <r>
      <rPr>
        <sz val="11"/>
        <color theme="1"/>
        <rFont val="Calibri"/>
        <family val="2"/>
        <scheme val="minor"/>
      </rPr>
      <t>: pride, energy.</t>
    </r>
  </si>
  <si>
    <r>
      <rPr>
        <b/>
        <sz val="11"/>
        <color theme="1"/>
        <rFont val="Calibri"/>
        <family val="2"/>
        <scheme val="minor"/>
      </rPr>
      <t>Result</t>
    </r>
    <r>
      <rPr>
        <sz val="11"/>
        <color theme="1"/>
        <rFont val="Calibri"/>
        <family val="2"/>
        <scheme val="minor"/>
      </rPr>
      <t>: stronger belief in yourself.</t>
    </r>
  </si>
  <si>
    <r>
      <rPr>
        <b/>
        <sz val="11"/>
        <color theme="1"/>
        <rFont val="Calibri"/>
        <family val="2"/>
        <scheme val="minor"/>
      </rPr>
      <t>Action</t>
    </r>
    <r>
      <rPr>
        <sz val="11"/>
        <color theme="1"/>
        <rFont val="Calibri"/>
        <family val="2"/>
        <scheme val="minor"/>
      </rPr>
      <t>: go to gym.</t>
    </r>
  </si>
  <si>
    <r>
      <rPr>
        <b/>
        <sz val="11"/>
        <color theme="1"/>
        <rFont val="Calibri"/>
        <family val="2"/>
        <scheme val="minor"/>
      </rPr>
      <t>reprogram</t>
    </r>
    <r>
      <rPr>
        <sz val="11"/>
        <color theme="1"/>
        <rFont val="Calibri"/>
        <family val="2"/>
        <scheme val="minor"/>
      </rPr>
      <t xml:space="preserve"> “I’m becoming stronger every time I train.”</t>
    </r>
  </si>
  <si>
    <t>решение</t>
  </si>
  <si>
    <t>Всяко есно решене което взимам е записано като убеждение в подсъзнанието ми</t>
  </si>
  <si>
    <t>Защо ме е страх да започна нова работа</t>
  </si>
  <si>
    <r>
      <t xml:space="preserve">защото в подсъзнанието ми е записано че </t>
    </r>
    <r>
      <rPr>
        <b/>
        <sz val="11"/>
        <color theme="1"/>
        <rFont val="Calibri"/>
        <family val="2"/>
        <scheme val="minor"/>
      </rPr>
      <t>не трябва да се рискува</t>
    </r>
  </si>
  <si>
    <t>Защо не си купих жилище</t>
  </si>
  <si>
    <r>
      <t xml:space="preserve">защото в подсъзнанието ми е записано че </t>
    </r>
    <r>
      <rPr>
        <b/>
        <sz val="11"/>
        <color theme="1"/>
        <rFont val="Calibri"/>
        <family val="2"/>
        <scheme val="minor"/>
      </rPr>
      <t>кредита е много опасно нещо което трябва да се избягва</t>
    </r>
  </si>
  <si>
    <t>Защо не се ожених</t>
  </si>
  <si>
    <t>Защо съм слаб като тегло</t>
  </si>
  <si>
    <t>Това е „автопилотът“ — навици, автоматични реакции, вярвания.</t>
  </si>
  <si>
    <r>
      <t xml:space="preserve">То е като </t>
    </r>
    <r>
      <rPr>
        <b/>
        <sz val="11"/>
        <color theme="1"/>
        <rFont val="Calibri"/>
        <family val="2"/>
        <charset val="204"/>
        <scheme val="minor"/>
      </rPr>
      <t>капитан</t>
    </r>
    <r>
      <rPr>
        <sz val="11"/>
        <color theme="1"/>
        <rFont val="Calibri"/>
        <family val="2"/>
        <scheme val="minor"/>
      </rPr>
      <t>, който казва накъде да върви корабът</t>
    </r>
  </si>
  <si>
    <r>
      <t>Това е частта от ума, която</t>
    </r>
    <r>
      <rPr>
        <b/>
        <sz val="11"/>
        <color theme="1"/>
        <rFont val="Calibri"/>
        <family val="2"/>
        <charset val="204"/>
        <scheme val="minor"/>
      </rPr>
      <t xml:space="preserve"> взима осъзнати решения</t>
    </r>
  </si>
  <si>
    <r>
      <t xml:space="preserve">Подсъзнанието отговаря за </t>
    </r>
    <r>
      <rPr>
        <b/>
        <sz val="11"/>
        <color theme="1"/>
        <rFont val="Calibri"/>
        <family val="2"/>
        <charset val="204"/>
        <scheme val="minor"/>
      </rPr>
      <t>ежедневните навици</t>
    </r>
  </si>
  <si>
    <t>Как работят заедно при целта „+5 кг“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</si>
  <si>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Съзнанието</t>
    </r>
    <r>
      <rPr>
        <sz val="11"/>
        <color theme="1"/>
        <rFont val="Calibri"/>
        <family val="2"/>
        <scheme val="minor"/>
      </rPr>
      <t>: „Ще кача 5 кг. План → ям 5 пъти на ден, тренирам 3 пъти седмично.“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</si>
  <si>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>Подсъзнанието</t>
    </r>
    <r>
      <rPr>
        <sz val="11"/>
        <color theme="1"/>
        <rFont val="Calibri"/>
        <family val="2"/>
        <scheme val="minor"/>
      </rPr>
      <t>: започва да изгражда нови навици (по-чести хранения, автоматично тръгваш към фитнеса в определени дни).</t>
    </r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</si>
  <si>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Дисциплина</t>
    </r>
    <r>
      <rPr>
        <sz val="11"/>
        <color theme="1"/>
        <rFont val="Calibri"/>
        <family val="2"/>
        <scheme val="minor"/>
      </rPr>
      <t>: мостът между двете — докато поведението не стане автоматично</t>
    </r>
  </si>
  <si>
    <r>
      <t xml:space="preserve">Дисциплината е начинът да покажеш на подсъзнанието </t>
    </r>
    <r>
      <rPr>
        <b/>
        <sz val="11"/>
        <color theme="1"/>
        <rFont val="Calibri"/>
        <family val="2"/>
        <charset val="204"/>
        <scheme val="minor"/>
      </rPr>
      <t>нова истина</t>
    </r>
  </si>
  <si>
    <t>Вяра</t>
  </si>
  <si>
    <t>навици</t>
  </si>
  <si>
    <t>Медитация</t>
  </si>
  <si>
    <t>Идеята е препрограмиране на подсъзнанието → чрез съзнателна медитация, която комбинира мисъл и емоция, така че да започнеш да излъчваш нова енергия → нова честота → нова вибрация → и да привлечеш съответната реалност.</t>
  </si>
  <si>
    <t>медитация</t>
  </si>
  <si>
    <t>че ме мързи да готвя</t>
  </si>
  <si>
    <t>да добия информация за хранене</t>
  </si>
  <si>
    <t>защото в подсъзнанието ми е записано че ме мързи:</t>
  </si>
  <si>
    <t>да направя режим</t>
  </si>
  <si>
    <t>да спазвам режима</t>
  </si>
  <si>
    <t>Защо не се старая да ходя добре облечен:</t>
  </si>
  <si>
    <t>защото в подсъзнанието ми е записано че не изглеждам добре така или иначе</t>
  </si>
  <si>
    <t>Защо не ходя на бокс</t>
  </si>
  <si>
    <t>защото в подсъзнанието ми е записано че съм слаб</t>
  </si>
  <si>
    <t>защото в подсъзнанието ми е записано че нямам енергия и ще отслабна много</t>
  </si>
  <si>
    <t>Защо не си купувам нова кола</t>
  </si>
  <si>
    <t>защото в подсъзнанието ми е записано че не заслужавам</t>
  </si>
  <si>
    <t>защото в подсъзнанието ми е записано че новите коли са голям проблем</t>
  </si>
  <si>
    <r>
      <t xml:space="preserve">защото в подсъзнанието ми е записано че </t>
    </r>
    <r>
      <rPr>
        <b/>
        <sz val="11"/>
        <color theme="1"/>
        <rFont val="Calibri"/>
        <family val="2"/>
        <charset val="204"/>
        <scheme val="minor"/>
      </rPr>
      <t>жената трябва да е перфектна</t>
    </r>
    <r>
      <rPr>
        <sz val="11"/>
        <color theme="1"/>
        <rFont val="Calibri"/>
        <family val="2"/>
        <scheme val="minor"/>
      </rPr>
      <t xml:space="preserve"> и да е одобрена от родителите ми</t>
    </r>
  </si>
  <si>
    <t>визуализация</t>
  </si>
  <si>
    <t>вярата(желанието) е семе. Съзнанието я засажда, дисциплината я полива, подсъзнанието е почвата, в която се вкоренява</t>
  </si>
  <si>
    <t>Съзнание и депресия</t>
  </si>
  <si>
    <t>На съзнателно ниво човек усеща симптомите: липса на мотивация, тъга, апатия, негативни мисли.</t>
  </si>
  <si>
    <t>Там е усещането: „Знам, че не съм добре, но не мога да изляза от това.“</t>
  </si>
  <si>
    <t>Съзнанието страда, защото вижда несъответствие между това, което иска (желания, цели), и това, което преживява</t>
  </si>
  <si>
    <t>В съзнанието депресията се проявява като осъзнато чувство на безизходица</t>
  </si>
  <si>
    <t>Подсъзнание и депресия</t>
  </si>
  <si>
    <t>Подсъзнанието съдържа стари програми, вярвания и емоции, които често стоят в основата на депресивното състояние.</t>
  </si>
  <si>
    <t>Примери: „Не съм достатъчно добър“, „Не заслужавам успех“, „Животът е тежък“</t>
  </si>
  <si>
    <t>То автоматично „възпроизвежда“ тези модели всеки ден → и човекът несъзнателно попада в същия емоционален сценарий.</t>
  </si>
  <si>
    <r>
      <t xml:space="preserve">В подсъзнанието </t>
    </r>
    <r>
      <rPr>
        <b/>
        <sz val="11"/>
        <color theme="1"/>
        <rFont val="Calibri"/>
        <family val="2"/>
        <charset val="204"/>
        <scheme val="minor"/>
      </rPr>
      <t>депресията е като автоматична програма, която дърпа надолу</t>
    </r>
  </si>
  <si>
    <t>Връзката между двете</t>
  </si>
  <si>
    <r>
      <t xml:space="preserve">Съзнанието </t>
    </r>
    <r>
      <rPr>
        <b/>
        <sz val="11"/>
        <color theme="1"/>
        <rFont val="Calibri"/>
        <family val="2"/>
        <charset val="204"/>
        <scheme val="minor"/>
      </rPr>
      <t>вижда проблема</t>
    </r>
    <r>
      <rPr>
        <sz val="11"/>
        <color theme="1"/>
        <rFont val="Calibri"/>
        <family val="2"/>
        <scheme val="minor"/>
      </rPr>
      <t>, но няма сила да го промени само с мисъл.</t>
    </r>
  </si>
  <si>
    <r>
      <t xml:space="preserve">Подсъзнанието </t>
    </r>
    <r>
      <rPr>
        <b/>
        <sz val="11"/>
        <color theme="1"/>
        <rFont val="Calibri"/>
        <family val="2"/>
        <charset val="204"/>
        <scheme val="minor"/>
      </rPr>
      <t>повтаря старите емоции и вярвания</t>
    </r>
    <r>
      <rPr>
        <sz val="11"/>
        <color theme="1"/>
        <rFont val="Calibri"/>
        <family val="2"/>
        <scheme val="minor"/>
      </rPr>
      <t>, което поддържа цикъла</t>
    </r>
  </si>
  <si>
    <t>Така възниква „капанът“: човек съзнателно иска да е добре, но подсъзнанието автоматично го връща в стария модел</t>
  </si>
  <si>
    <t>Извод</t>
  </si>
  <si>
    <t>Депресията е мост:</t>
  </si>
  <si>
    <t>На съзнателно ниво – усещане за страдание</t>
  </si>
  <si>
    <t>На подсъзнателно ниво – вкоренени програми и емоции, които го поддържат</t>
  </si>
  <si>
    <t>Затова методи като медитация, психотерапия, дълбока работа с вярванията и тялото целят именно да „препишат“ подсъзнанието, за да се освободи човек от цикъла</t>
  </si>
  <si>
    <t>Съзнание = избор на действие.</t>
  </si>
  <si>
    <t>Подсъзнание = асоциация + навик</t>
  </si>
  <si>
    <t>Избор на действия</t>
  </si>
  <si>
    <t>Разликата между „естествени“ и „изкуствени“ източници на емоции</t>
  </si>
  <si>
    <r>
      <rPr>
        <b/>
        <sz val="11"/>
        <color theme="1"/>
        <rFont val="Calibri"/>
        <family val="2"/>
        <charset val="204"/>
        <scheme val="minor"/>
      </rPr>
      <t>Естествени</t>
    </r>
    <r>
      <rPr>
        <sz val="11"/>
        <color theme="1"/>
        <rFont val="Calibri"/>
        <family val="2"/>
        <scheme val="minor"/>
      </rPr>
      <t xml:space="preserve"> (общуване с приятни хора, спорт, творчество) → подсъзнанието получава позитивен модел, който повишава енергията и укрепва идентичността</t>
    </r>
  </si>
  <si>
    <r>
      <rPr>
        <b/>
        <sz val="11"/>
        <color theme="1"/>
        <rFont val="Calibri"/>
        <family val="2"/>
        <charset val="204"/>
        <scheme val="minor"/>
      </rPr>
      <t>Изкуствени</t>
    </r>
    <r>
      <rPr>
        <sz val="11"/>
        <color theme="1"/>
        <rFont val="Calibri"/>
        <family val="2"/>
        <scheme val="minor"/>
      </rPr>
      <t>/външни стимуланти (алкохол, прекомерно гледане на филми, захар) → дават краткосрочна емоция, но често отслабват вътрешната способност да създаваш щастие сам</t>
    </r>
  </si>
  <si>
    <r>
      <t xml:space="preserve">Ти </t>
    </r>
    <r>
      <rPr>
        <b/>
        <sz val="11"/>
        <color theme="1"/>
        <rFont val="Calibri"/>
        <family val="2"/>
        <charset val="204"/>
        <scheme val="minor"/>
      </rPr>
      <t>избираш действието</t>
    </r>
    <r>
      <rPr>
        <sz val="11"/>
        <color theme="1"/>
        <rFont val="Calibri"/>
        <family val="2"/>
        <scheme val="minor"/>
      </rPr>
      <t>: „Ще гледам филм“, „Ще изляза с приятели“, „Ще пия чаша вино“</t>
    </r>
  </si>
  <si>
    <t>Това е съзнателно решение</t>
  </si>
  <si>
    <t>Причината: съзнанието търси промяна в емоцията → иска да избяга от стреса, скуката или тъгата</t>
  </si>
  <si>
    <r>
      <t xml:space="preserve">На ниво </t>
    </r>
    <r>
      <rPr>
        <b/>
        <sz val="11"/>
        <color theme="1"/>
        <rFont val="Calibri"/>
        <family val="2"/>
        <charset val="204"/>
        <scheme val="minor"/>
      </rPr>
      <t>съзнание</t>
    </r>
  </si>
  <si>
    <t>На ниво подсъзнание</t>
  </si>
  <si>
    <t>Самото действие отключва емоционална реакция (радост, смях, отпускане).</t>
  </si>
  <si>
    <r>
      <t xml:space="preserve">Подсъзнанието го свързва с „награда“ → и постепенно </t>
    </r>
    <r>
      <rPr>
        <b/>
        <sz val="11"/>
        <color theme="1"/>
        <rFont val="Calibri"/>
        <family val="2"/>
        <charset val="204"/>
        <scheme val="minor"/>
      </rPr>
      <t>изгражда навик.</t>
    </r>
  </si>
  <si>
    <t>Например: ако често пиеш алкохол, подсъзнанието научава: „Алкохол = отпускане/щастие“ → и започва да го търси автоматично.</t>
  </si>
  <si>
    <t>Подсъзнание = асоциация + навик.</t>
  </si>
  <si>
    <t>Съзнание = избор на действие</t>
  </si>
  <si>
    <t>Действията стоят в съзнанието (като избор), но влияят на подсъзнанието (като програми и навици)</t>
  </si>
  <si>
    <t>Ако са повтаряни често, те стават автоматични – и вече не избираш съзнателно, а подсъзнанието те води</t>
  </si>
  <si>
    <t>Пример:</t>
  </si>
  <si>
    <r>
      <t xml:space="preserve">Филм с приятели → съзнателен избор → хубава емоция → </t>
    </r>
    <r>
      <rPr>
        <b/>
        <sz val="11"/>
        <color theme="1"/>
        <rFont val="Calibri"/>
        <family val="2"/>
        <charset val="204"/>
        <scheme val="minor"/>
      </rPr>
      <t>подсъзнанието записва: „приятелство = радост“</t>
    </r>
  </si>
  <si>
    <r>
      <t xml:space="preserve">Алкохол → съзнателен избор → релакс → </t>
    </r>
    <r>
      <rPr>
        <b/>
        <sz val="11"/>
        <color theme="1"/>
        <rFont val="Calibri"/>
        <family val="2"/>
        <charset val="204"/>
        <scheme val="minor"/>
      </rPr>
      <t>подсъзнанието записва: „алкохол = спокойствие“</t>
    </r>
    <r>
      <rPr>
        <sz val="11"/>
        <color theme="1"/>
        <rFont val="Calibri"/>
        <family val="2"/>
        <scheme val="minor"/>
      </rPr>
      <t xml:space="preserve"> → с времето може да стане автоматична програма</t>
    </r>
  </si>
  <si>
    <t xml:space="preserve"> </t>
  </si>
  <si>
    <t>Бог</t>
  </si>
  <si>
    <t>1. От религиозна гледна точка</t>
  </si>
  <si>
    <t>Бог е извън и над съзнанието и подсъзнанието</t>
  </si>
  <si>
    <t>Съзнанието и подсъзнанието са части от човешката психика, а Бог е Творецът, който ги е създал</t>
  </si>
  <si>
    <t>Т.е. Бог не е „между тях“, а е над тях и във всичко</t>
  </si>
  <si>
    <t>2. От гледната точка на Джо Диспенза и подобни автори</t>
  </si>
  <si>
    <t>Бог често се приравнява с Квантовото поле – безкрайна интелигентна енергия, която съдържа всички възможности</t>
  </si>
  <si>
    <t>Съзнанието (мисълта) и подсъзнанието (емоциите и програмите) са канали, чрез които се свързваме с това поле</t>
  </si>
  <si>
    <t>Тогава може да се каже, че Бог е във и около съзнанието и подсъзнанието – в самото поле, което ги обгръща</t>
  </si>
  <si>
    <t>3. От психологическа гледна точка</t>
  </si>
  <si>
    <t>„Бог“ може да се разбира като най-висшата ценност, смисъл или архетип, който обединява съзнанието и подсъзнанието.</t>
  </si>
  <si>
    <t>Тогава Той е точката на свързване между двете – когато умът (съзнанието) и сърцето (емоциите/подсъзнанието) се синхронизират, човек се чувства свързан с нещо по-голямо</t>
  </si>
  <si>
    <t>Бъдеще</t>
  </si>
  <si>
    <t>Съзнание и бъдеще</t>
  </si>
  <si>
    <t>Съзнанието е това, което планира и проектира бъдещето</t>
  </si>
  <si>
    <t>Когато си казваш: „Искам да кача 5 кг“ или „Искам да бъда уверен“, това е в съзнателната ти мисъл</t>
  </si>
  <si>
    <t>В съзнанието бъдещето е възможност, представена с мисъл и въображение</t>
  </si>
  <si>
    <t>там съществува бъдещето като идея, цел и избор</t>
  </si>
  <si>
    <t>Подсъзнание и бъдеще</t>
  </si>
  <si>
    <t>Подсъзнанието определя дали това бъдеще ще стане реалност</t>
  </si>
  <si>
    <t>То работи с програми, навици и емоции</t>
  </si>
  <si>
    <t>Ако подсъзнанието не е пренаписано, то ще възпроизвежда миналото → и бъдещето ще изглежда същото като вчера.</t>
  </si>
  <si>
    <t>Ако обаче подсъзнанието приеме новата визия (чрез повторение, емоция, дисциплина), то започва да създава автоматични действия в тази посока.</t>
  </si>
  <si>
    <t>В подсъзнанието бъдещето е запис като програма, която постепенно става настояще</t>
  </si>
  <si>
    <t>Между двете</t>
  </si>
  <si>
    <t>Съзнанието вижда бъдещето</t>
  </si>
  <si>
    <t>Подсъзнанието го реализира</t>
  </si>
  <si>
    <t>Ако има разрив (пример: съзнанието иска нов живот, но подсъзнанието е пълно с убеждения „не мога“), тогава бъдещето не се променя</t>
  </si>
  <si>
    <t>Когато двете се синхронизират → бъдещето се превръща в реалност</t>
  </si>
  <si>
    <t>Решения</t>
  </si>
  <si>
    <t>Това са осъзнати избори, когато мислиш логично, претегляш плюсове и минуси</t>
  </si>
  <si>
    <t>Решения в съзнанието:</t>
  </si>
  <si>
    <t>Решения в подсъзнанието</t>
  </si>
  <si>
    <t>Това са автоматични реакции, които взимаш без да се замислиш – често базирани на навици, страхове или вярвания</t>
  </si>
  <si>
    <t>Пример: „Ще отида на фитнес 3 пъти седмично</t>
  </si>
  <si>
    <t>Пример: „Няма да отида на фитнес днес, защото ми е студено навън.“ – това е стара програма на удобство/отлагане</t>
  </si>
  <si>
    <t>Подсъзнателните решения са бързи и емоционални</t>
  </si>
  <si>
    <t>Между съзнание и подсъзнание</t>
  </si>
  <si>
    <t>Истината е, че повечето решения започват в съзнанието, но се филтрират от подсъзнанието</t>
  </si>
  <si>
    <t>Ако съзнанието каже „искам“, а подсъзнанието носи програма „не мога“ → решението често е компромис или отлагане</t>
  </si>
  <si>
    <t>Затова често хората казват: „Знам какво трябва да правя, но не го правя.“ – конфликт между съзнание и подсъзнание.</t>
  </si>
  <si>
    <t>Истинските решения стават устойчиви, когато съзнателната ти цел и подсъзнателните ти програми са в синхрон</t>
  </si>
  <si>
    <t>план</t>
  </si>
  <si>
    <t>цел</t>
  </si>
  <si>
    <t>Планове</t>
  </si>
  <si>
    <t>Планове в съзнанието</t>
  </si>
  <si>
    <t>Съзнанието е това, което измисля, подрежда и структурира плановете</t>
  </si>
  <si>
    <t>То работи с логика, анализ и бъдещи сценарии.</t>
  </si>
  <si>
    <t>Пример: „Ще ставам в 7:00, ще тренирам в 8:00, ще закусвам след това."</t>
  </si>
  <si>
    <t>Тук планът е като карта – начертан път</t>
  </si>
  <si>
    <t>Планове и подсъзнание</t>
  </si>
  <si>
    <t>Подсъзнанието решава дали този план ще бъде изпълнен</t>
  </si>
  <si>
    <t>Ако програмите в подсъзнанието не съвпадат (например вярвания като „Никога не издържам на диета“ или „Фитнесът не е за мен“), планът остава само на хартия</t>
  </si>
  <si>
    <t>Ако подсъзнанието бъде пренаписано с нови убеждения („Аз съм дисциплиниран“), то започва автоматично да следва плана</t>
  </si>
  <si>
    <t>Плановете се раждат в съзнанието</t>
  </si>
  <si>
    <t>Устойчивостта им зависи от подсъзнанието</t>
  </si>
  <si>
    <t>Когато двата ума са в синхрон → планът става навик</t>
  </si>
  <si>
    <t>Образно казано</t>
  </si>
  <si>
    <r>
      <rPr>
        <b/>
        <sz val="11"/>
        <color theme="1"/>
        <rFont val="Calibri"/>
        <family val="2"/>
        <charset val="204"/>
        <scheme val="minor"/>
      </rPr>
      <t>Съзнание</t>
    </r>
    <r>
      <rPr>
        <sz val="11"/>
        <color theme="1"/>
        <rFont val="Calibri"/>
        <family val="2"/>
        <scheme val="minor"/>
      </rPr>
      <t xml:space="preserve"> = архитектът, който рисува чертежа на къщата</t>
    </r>
  </si>
  <si>
    <r>
      <rPr>
        <b/>
        <sz val="11"/>
        <color theme="1"/>
        <rFont val="Calibri"/>
        <family val="2"/>
        <charset val="204"/>
        <scheme val="minor"/>
      </rPr>
      <t>Подсъзнание</t>
    </r>
    <r>
      <rPr>
        <sz val="11"/>
        <color theme="1"/>
        <rFont val="Calibri"/>
        <family val="2"/>
        <scheme val="minor"/>
      </rPr>
      <t xml:space="preserve"> = строителите, които решават дали ще я построят, как и с какво качество.</t>
    </r>
  </si>
  <si>
    <t>утвърждения + емоция</t>
  </si>
  <si>
    <t>вяря</t>
  </si>
  <si>
    <r>
      <t xml:space="preserve">постоянство, </t>
    </r>
    <r>
      <rPr>
        <b/>
        <sz val="11"/>
        <color theme="1"/>
        <rFont val="Calibri"/>
        <family val="2"/>
        <charset val="204"/>
        <scheme val="minor"/>
      </rPr>
      <t>дисциплина</t>
    </r>
  </si>
  <si>
    <t>желания</t>
  </si>
  <si>
    <t>Визуалнизация</t>
  </si>
  <si>
    <t>работя като програмист за огромна сума пари</t>
  </si>
  <si>
    <t>имам строхотна съпруга и прекрасни деца</t>
  </si>
  <si>
    <t>градина</t>
  </si>
  <si>
    <t>цветя</t>
  </si>
  <si>
    <t>баскетболен кош</t>
  </si>
  <si>
    <t>лостове за набиране</t>
  </si>
  <si>
    <t xml:space="preserve">живеем в голяма и удобна къща с: </t>
  </si>
  <si>
    <t>тенис на корт</t>
  </si>
  <si>
    <t>тенис на меса</t>
  </si>
  <si>
    <t>работилница с перфектно подредения и качествени инструменти</t>
  </si>
  <si>
    <t>мазе с рафтове</t>
  </si>
  <si>
    <t>Куче и котка</t>
  </si>
  <si>
    <t>Плодни дръвчета</t>
  </si>
  <si>
    <t>имаме голям пътнически бус с който пътуваме</t>
  </si>
  <si>
    <t>гараж</t>
  </si>
  <si>
    <t>помагам на други хора да сбъднат мечтите си</t>
  </si>
  <si>
    <t>Вселена</t>
  </si>
  <si>
    <t>Психолозите и учителите като Диспенза или Рон (Jim Rohn) често казват:</t>
  </si>
  <si>
    <r>
      <t xml:space="preserve">Вселената </t>
    </r>
    <r>
      <rPr>
        <b/>
        <sz val="11"/>
        <color theme="1"/>
        <rFont val="Calibri"/>
        <family val="2"/>
        <charset val="204"/>
        <scheme val="minor"/>
      </rPr>
      <t>отразява това, което излъчваме.</t>
    </r>
  </si>
  <si>
    <r>
      <t xml:space="preserve">На езика на енергията: </t>
    </r>
    <r>
      <rPr>
        <b/>
        <sz val="11"/>
        <color theme="1"/>
        <rFont val="Calibri"/>
        <family val="2"/>
        <charset val="204"/>
        <scheme val="minor"/>
      </rPr>
      <t>всяка мисъл е честота</t>
    </r>
    <r>
      <rPr>
        <sz val="11"/>
        <color theme="1"/>
        <rFont val="Calibri"/>
        <family val="2"/>
        <scheme val="minor"/>
      </rPr>
      <t>, която „съвпада“ с подобни честоти в реалността</t>
    </r>
  </si>
  <si>
    <r>
      <t xml:space="preserve">На езика на психологията това е просто: ние търсим и </t>
    </r>
    <r>
      <rPr>
        <b/>
        <sz val="11"/>
        <color theme="1"/>
        <rFont val="Calibri"/>
        <family val="2"/>
        <charset val="204"/>
        <scheme val="minor"/>
      </rPr>
      <t>забелязваме ситуации</t>
    </r>
    <r>
      <rPr>
        <sz val="11"/>
        <color theme="1"/>
        <rFont val="Calibri"/>
        <family val="2"/>
        <scheme val="minor"/>
      </rPr>
      <t xml:space="preserve">, които </t>
    </r>
    <r>
      <rPr>
        <b/>
        <sz val="11"/>
        <color theme="1"/>
        <rFont val="Calibri"/>
        <family val="2"/>
        <charset val="204"/>
        <scheme val="minor"/>
      </rPr>
      <t>съответстват на нашите мисли</t>
    </r>
    <r>
      <rPr>
        <sz val="11"/>
        <color theme="1"/>
        <rFont val="Calibri"/>
        <family val="2"/>
        <scheme val="minor"/>
      </rPr>
      <t xml:space="preserve"> и вярвания (т.нар. селективно възприятие)</t>
    </r>
  </si>
  <si>
    <t>1. Мисълта е вътрешен сигнал</t>
  </si>
  <si>
    <t>Когато мислиш нещо многократно, ти създаваш невронни връзки в мозъка</t>
  </si>
  <si>
    <r>
      <t xml:space="preserve">С времето тези връзки стават </t>
    </r>
    <r>
      <rPr>
        <b/>
        <sz val="11"/>
        <color theme="1"/>
        <rFont val="Calibri"/>
        <family val="2"/>
        <charset val="204"/>
        <scheme val="minor"/>
      </rPr>
      <t>автоматични програми</t>
    </r>
    <r>
      <rPr>
        <sz val="11"/>
        <color theme="1"/>
        <rFont val="Calibri"/>
        <family val="2"/>
        <scheme val="minor"/>
      </rPr>
      <t xml:space="preserve"> → т.е. </t>
    </r>
    <r>
      <rPr>
        <b/>
        <sz val="11"/>
        <color theme="1"/>
        <rFont val="Calibri"/>
        <family val="2"/>
        <charset val="204"/>
        <scheme val="minor"/>
      </rPr>
      <t>Подсъзнание</t>
    </r>
  </si>
  <si>
    <t>Мислите оформят това, което очакваш от света</t>
  </si>
  <si>
    <t>2. Мисълта влияе на емоциите</t>
  </si>
  <si>
    <t>Всяка мисъл създава съответна емоция</t>
  </si>
  <si>
    <t>Пример: „Не съм достатъчно добър“ → води до тревожност и несигурност</t>
  </si>
  <si>
    <t>„Мога да успея“ → води до увереност и действие.</t>
  </si>
  <si>
    <r>
      <rPr>
        <sz val="11"/>
        <color rgb="FF7D7DFF"/>
        <rFont val="Calibri"/>
        <family val="2"/>
        <charset val="204"/>
        <scheme val="minor"/>
      </rPr>
      <t>Емоцията е енергия в движение</t>
    </r>
    <r>
      <rPr>
        <sz val="11"/>
        <color theme="1"/>
        <rFont val="Calibri"/>
        <family val="2"/>
        <scheme val="minor"/>
      </rPr>
      <t xml:space="preserve"> (energy in motion), тя се усеща и излъчва</t>
    </r>
  </si>
  <si>
    <t>3. Емоциите + мислите оформят действията</t>
  </si>
  <si>
    <t>Ако мислиш позитивно → чувстваш се вдъхновен → предприемаш действия → създаваш по-добри резултати.</t>
  </si>
  <si>
    <t>Ако мислиш негативно → чувстваш се обезкуражен → не действаш или саботираш себе си → резултатите отразяват това</t>
  </si>
  <si>
    <t>4. Как това изглежда като „вселена“</t>
  </si>
  <si>
    <t>Обобщение</t>
  </si>
  <si>
    <t>1. Програмират мозъка и подсъзнанието ти</t>
  </si>
  <si>
    <t>2. Създават емоции, които се усещат от теб и от другите</t>
  </si>
  <si>
    <t>3. Вдъхновяват или блокират действията ти.</t>
  </si>
  <si>
    <t>4. С времето оформят реалността ти – така сякаш светът ти връща това, което си излъчил</t>
  </si>
  <si>
    <t>събития</t>
  </si>
  <si>
    <t>благодарност</t>
  </si>
  <si>
    <t>Резултати</t>
  </si>
  <si>
    <t>вяра + дисциплина = постояннство</t>
  </si>
  <si>
    <t>Правилние хора</t>
  </si>
  <si>
    <t>Ти си:</t>
  </si>
  <si>
    <t>психилог</t>
  </si>
  <si>
    <t>Цел</t>
  </si>
  <si>
    <t>Ремонт</t>
  </si>
  <si>
    <t>Правилните хора</t>
  </si>
  <si>
    <t>Бригада</t>
  </si>
  <si>
    <t>Ремонтиран дом</t>
  </si>
  <si>
    <t>програмист</t>
  </si>
  <si>
    <t>Копуване на имот</t>
  </si>
  <si>
    <t>Брокер</t>
  </si>
  <si>
    <t>Придобит имот</t>
  </si>
  <si>
    <t>инженер</t>
  </si>
  <si>
    <t>Хубава усмивка</t>
  </si>
  <si>
    <t>Зъболекар</t>
  </si>
  <si>
    <t>прав.хора</t>
  </si>
  <si>
    <t>Програмист</t>
  </si>
  <si>
    <t>Работа като програмист</t>
  </si>
  <si>
    <t>Семейство</t>
  </si>
  <si>
    <t>ерген</t>
  </si>
  <si>
    <t>Актив</t>
  </si>
  <si>
    <t>40г.</t>
  </si>
  <si>
    <t>актив + цел + правилните хора = резултат</t>
  </si>
  <si>
    <t>Хубаво тяло</t>
  </si>
  <si>
    <t>Треньор</t>
  </si>
  <si>
    <t>Бойни умения</t>
  </si>
  <si>
    <t>Сила</t>
  </si>
  <si>
    <t>Бокс треньор</t>
  </si>
  <si>
    <t>Агент</t>
  </si>
  <si>
    <t>Жена</t>
  </si>
  <si>
    <t>Въпроси</t>
  </si>
  <si>
    <t>Какъв е смисъла да познаваш себе си?</t>
  </si>
  <si>
    <t>ще разбереш какво наистина искаш</t>
  </si>
  <si>
    <t>ще разбереш силните и слабите си страни и ако искаш може да подобриш слабите</t>
  </si>
  <si>
    <t>няма да губиш време в преследване на цели, които не са твои</t>
  </si>
  <si>
    <t>Стресът</t>
  </si>
  <si>
    <t>Цикълът на стреса:</t>
  </si>
  <si>
    <t>Как се прекъсва?</t>
  </si>
  <si>
    <t>1. Чрез съзнателна практика: медитация, дишане, промяна на мисълта</t>
  </si>
  <si>
    <t>2. Препрограмиране на подсъзнанието с нови вярвания</t>
  </si>
  <si>
    <t>3. Малки действия, които връщат увереността.</t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</si>
  <si>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Действие</t>
    </r>
    <r>
      <rPr>
        <sz val="11"/>
        <color theme="1"/>
        <rFont val="Calibri"/>
        <family val="2"/>
        <scheme val="minor"/>
      </rPr>
      <t>: отлагане, паника или грешки</t>
    </r>
  </si>
  <si>
    <r>
      <t xml:space="preserve">4. </t>
    </r>
    <r>
      <rPr>
        <b/>
        <sz val="11"/>
        <color theme="1"/>
        <rFont val="Calibri"/>
        <family val="2"/>
        <charset val="204"/>
        <scheme val="minor"/>
      </rPr>
      <t>Резулта</t>
    </r>
    <r>
      <rPr>
        <sz val="11"/>
        <color theme="1"/>
        <rFont val="Calibri"/>
        <family val="2"/>
        <scheme val="minor"/>
      </rPr>
      <t>т: провал или слаб успех → потвърждава първата мисъл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</si>
  <si>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>Подсъзнание</t>
    </r>
    <r>
      <rPr>
        <sz val="11"/>
        <color theme="1"/>
        <rFont val="Calibri"/>
        <family val="2"/>
        <scheme val="minor"/>
      </rPr>
      <t>: активира тревожност, страх → тялото влиза в стрес режим</t>
    </r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</si>
  <si>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Мисъл</t>
    </r>
    <r>
      <rPr>
        <sz val="11"/>
        <color theme="1"/>
        <rFont val="Calibri"/>
        <family val="2"/>
        <scheme val="minor"/>
      </rPr>
      <t>: „Няма да успея.“</t>
    </r>
  </si>
  <si>
    <t>Стресът и подсъзнанието</t>
  </si>
  <si>
    <t>Подсъзнанието има вградена програма за оцеляване („бий се или бягай“)</t>
  </si>
  <si>
    <r>
      <t xml:space="preserve">При </t>
    </r>
    <r>
      <rPr>
        <b/>
        <sz val="11"/>
        <color theme="1"/>
        <rFont val="Calibri"/>
        <family val="2"/>
        <charset val="204"/>
        <scheme val="minor"/>
      </rPr>
      <t>хроничен стрес</t>
    </r>
    <r>
      <rPr>
        <sz val="11"/>
        <color theme="1"/>
        <rFont val="Calibri"/>
        <family val="2"/>
        <charset val="204"/>
        <scheme val="minor"/>
      </rPr>
      <t xml:space="preserve"> тази програма се </t>
    </r>
    <r>
      <rPr>
        <b/>
        <sz val="11"/>
        <color theme="1"/>
        <rFont val="Calibri"/>
        <family val="2"/>
        <charset val="204"/>
        <scheme val="minor"/>
      </rPr>
      <t>задейства постоянно</t>
    </r>
    <r>
      <rPr>
        <sz val="11"/>
        <color theme="1"/>
        <rFont val="Calibri"/>
        <family val="2"/>
        <charset val="204"/>
        <scheme val="minor"/>
      </rPr>
      <t>, дори когато няма реална опасност</t>
    </r>
  </si>
  <si>
    <t>Резултат: подсъзнанието „заключва“ човека в миналото (в паметта за опасностите)</t>
  </si>
  <si>
    <t>Това пречи да приеме нови програми и да се развива</t>
  </si>
  <si>
    <t>Стрес</t>
  </si>
  <si>
    <t>болка</t>
  </si>
  <si>
    <t>познание на себе си</t>
  </si>
  <si>
    <t>Вибрация</t>
  </si>
  <si>
    <t>медитация, спорт, дишане</t>
  </si>
  <si>
    <r>
      <t xml:space="preserve">Когато искаш да направиш нещо което </t>
    </r>
    <r>
      <rPr>
        <b/>
        <sz val="11"/>
        <color theme="1"/>
        <rFont val="Calibri"/>
        <family val="2"/>
        <charset val="204"/>
        <scheme val="minor"/>
      </rPr>
      <t>не можеш да направиш сам</t>
    </r>
    <r>
      <rPr>
        <sz val="11"/>
        <color theme="1"/>
        <rFont val="Calibri"/>
        <family val="2"/>
        <charset val="204"/>
        <scheme val="minor"/>
      </rPr>
      <t xml:space="preserve"> са</t>
    </r>
    <r>
      <rPr>
        <sz val="11"/>
        <color theme="1"/>
        <rFont val="Calibri"/>
        <family val="2"/>
        <scheme val="minor"/>
      </rPr>
      <t xml:space="preserve"> ти необходими правилните хора</t>
    </r>
  </si>
  <si>
    <t>Как постъпих в ситуацията със снимката</t>
  </si>
  <si>
    <t>1. Нервирах се моментално, как може да иска да ме снима без да попита Може ли</t>
  </si>
  <si>
    <t>2. Върнах груб и дързак отговор</t>
  </si>
  <si>
    <t>Как би било по редно да постъпя</t>
  </si>
  <si>
    <t xml:space="preserve">2. </t>
  </si>
  <si>
    <t>1. Извинявай но не обичам да ме снимат</t>
  </si>
  <si>
    <t>Какво открих в себе си</t>
  </si>
  <si>
    <t>Не обичам да ме снимат без мое разрешение</t>
  </si>
  <si>
    <t>внимание, фокус</t>
  </si>
  <si>
    <t>Съжалявам след като съм се държал арогантно, грубо</t>
  </si>
  <si>
    <t>Фокус</t>
  </si>
  <si>
    <t>1. Фокусът в съзнанието</t>
  </si>
  <si>
    <r>
      <t xml:space="preserve">Когато насочиш фокуса си съзнателно, ти избираш </t>
    </r>
    <r>
      <rPr>
        <b/>
        <sz val="11"/>
        <color theme="1"/>
        <rFont val="Calibri"/>
        <family val="2"/>
        <scheme val="minor"/>
      </rPr>
      <t>какво да мислиш, върху какво да се концентрираш</t>
    </r>
    <r>
      <rPr>
        <sz val="11"/>
        <color theme="1"/>
        <rFont val="Calibri"/>
        <family val="2"/>
        <scheme val="minor"/>
      </rPr>
      <t>.</t>
    </r>
  </si>
  <si>
    <t>Пример: „Сега мисля за това как да се храня правилно.</t>
  </si>
  <si>
    <t>Това активира логиката, разума и волята — мисловния ум</t>
  </si>
  <si>
    <r>
      <t xml:space="preserve">Но: </t>
    </r>
    <r>
      <rPr>
        <b/>
        <sz val="11"/>
        <color theme="1"/>
        <rFont val="Calibri"/>
        <family val="2"/>
        <charset val="204"/>
        <scheme val="minor"/>
      </rPr>
      <t>съзнателният фокус изисква енергия</t>
    </r>
    <r>
      <rPr>
        <sz val="11"/>
        <color theme="1"/>
        <rFont val="Calibri"/>
        <family val="2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не може да се задържи дълго</t>
    </r>
  </si>
  <si>
    <t>2. Фокусът и подсъзнанието</t>
  </si>
  <si>
    <t>Подсъзнанието работи с това, върху което най-често насочваш вниманието си</t>
  </si>
  <si>
    <t>Ако постоянно мислиш за проблем, подсъзнанието приема, че това е важно → започва да го възпроизвежда</t>
  </si>
  <si>
    <t>Ако фокусът ти е върху решения, увереност, визия – то програмира подсъзнанието с тези вибрации</t>
  </si>
  <si>
    <t>Затова се казва: „Там, където е вниманието ти – там отива и енергията ти.“</t>
  </si>
  <si>
    <t>3. Междината — къде е самият „фокус“</t>
  </si>
  <si>
    <t>Фокусът е съзнателният избор върху какво да мислиш, който с времето оформя подсъзнателни програми</t>
  </si>
  <si>
    <t>В началото той е съзнателен акт („ще мисля позитивно“)</t>
  </si>
  <si>
    <t>С повторение и емоция, това става автоматично — подсъзнателно</t>
  </si>
  <si>
    <t>Ден 1: „Ще се фокусирам върху благодарност.“</t>
  </si>
  <si>
    <t>Ден 30: Благодарността вече е естествен начин на мислене.</t>
  </si>
  <si>
    <t>Ниво</t>
  </si>
  <si>
    <t>Какво прави фокусът</t>
  </si>
  <si>
    <t>Съзнание</t>
  </si>
  <si>
    <t>Насочва вниманието</t>
  </si>
  <si>
    <t>Създава намерение</t>
  </si>
  <si>
    <t>Междинно</t>
  </si>
  <si>
    <t>Повтарящ се фокус</t>
  </si>
  <si>
    <t>Програмира подсъзнанието</t>
  </si>
  <si>
    <t>Подсъзнание</t>
  </si>
  <si>
    <t>Изпълнява автоматично</t>
  </si>
  <si>
    <t>Променя поведението и реалността</t>
  </si>
  <si>
    <t>Или просто казано:</t>
  </si>
  <si>
    <t>Съзнанието избира къде да насочи фокуса</t>
  </si>
  <si>
    <t>Подсъзнанието започва да създава реалността според този фокус</t>
  </si>
  <si>
    <t>съзнание</t>
  </si>
  <si>
    <t>чувства</t>
  </si>
  <si>
    <t>Чувствата</t>
  </si>
  <si>
    <r>
      <t xml:space="preserve">Чувствата </t>
    </r>
    <r>
      <rPr>
        <b/>
        <sz val="11"/>
        <color theme="1"/>
        <rFont val="Calibri"/>
        <family val="2"/>
        <charset val="204"/>
        <scheme val="minor"/>
      </rPr>
      <t>управляват поведението</t>
    </r>
    <r>
      <rPr>
        <sz val="11"/>
        <color theme="1"/>
        <rFont val="Calibri"/>
        <family val="2"/>
        <scheme val="minor"/>
      </rPr>
      <t xml:space="preserve">, а който може да </t>
    </r>
    <r>
      <rPr>
        <b/>
        <sz val="11"/>
        <color theme="1"/>
        <rFont val="Calibri"/>
        <family val="2"/>
        <charset val="204"/>
        <scheme val="minor"/>
      </rPr>
      <t>управлява чувствата си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charset val="204"/>
        <scheme val="minor"/>
      </rPr>
      <t>управлява живота си</t>
    </r>
    <r>
      <rPr>
        <sz val="11"/>
        <color theme="1"/>
        <rFont val="Calibri"/>
        <family val="2"/>
        <scheme val="minor"/>
      </rPr>
      <t>.</t>
    </r>
  </si>
  <si>
    <t>1. Как възниква чувството</t>
  </si>
  <si>
    <t>мисъл → интерпретация → чувство</t>
  </si>
  <si>
    <r>
      <rPr>
        <b/>
        <sz val="11"/>
        <color theme="1"/>
        <rFont val="Calibri"/>
        <family val="2"/>
        <charset val="204"/>
        <scheme val="minor"/>
      </rPr>
      <t>Мисъл</t>
    </r>
    <r>
      <rPr>
        <sz val="11"/>
        <color theme="1"/>
        <rFont val="Calibri"/>
        <family val="2"/>
        <scheme val="minor"/>
      </rPr>
      <t>: „Не ме разбират.“</t>
    </r>
  </si>
  <si>
    <r>
      <rPr>
        <b/>
        <sz val="11"/>
        <color theme="1"/>
        <rFont val="Calibri"/>
        <family val="2"/>
        <charset val="204"/>
        <scheme val="minor"/>
      </rPr>
      <t>Интерпретация</t>
    </r>
    <r>
      <rPr>
        <sz val="11"/>
        <color theme="1"/>
        <rFont val="Calibri"/>
        <family val="2"/>
        <scheme val="minor"/>
      </rPr>
      <t>: „Значи не съм ценен.“</t>
    </r>
  </si>
  <si>
    <r>
      <rPr>
        <b/>
        <sz val="11"/>
        <color theme="1"/>
        <rFont val="Calibri"/>
        <family val="2"/>
        <charset val="204"/>
        <scheme val="minor"/>
      </rPr>
      <t>Чувство</t>
    </r>
    <r>
      <rPr>
        <sz val="11"/>
        <color theme="1"/>
        <rFont val="Calibri"/>
        <family val="2"/>
        <scheme val="minor"/>
      </rPr>
      <t>: тъга, обида</t>
    </r>
  </si>
  <si>
    <r>
      <rPr>
        <b/>
        <sz val="11"/>
        <color theme="1"/>
        <rFont val="Calibri"/>
        <family val="2"/>
        <charset val="204"/>
        <scheme val="minor"/>
      </rPr>
      <t>Първата стъпка</t>
    </r>
    <r>
      <rPr>
        <sz val="11"/>
        <color theme="1"/>
        <rFont val="Calibri"/>
        <family val="2"/>
        <scheme val="minor"/>
      </rPr>
      <t xml:space="preserve"> към контрол е </t>
    </r>
    <r>
      <rPr>
        <b/>
        <sz val="11"/>
        <color theme="1"/>
        <rFont val="Calibri"/>
        <family val="2"/>
        <charset val="204"/>
        <scheme val="minor"/>
      </rPr>
      <t>осъзнаване</t>
    </r>
    <r>
      <rPr>
        <sz val="11"/>
        <color theme="1"/>
        <rFont val="Calibri"/>
        <family val="2"/>
        <scheme val="minor"/>
      </rPr>
      <t xml:space="preserve"> — </t>
    </r>
    <r>
      <rPr>
        <sz val="11"/>
        <color rgb="FF7D7DFF"/>
        <rFont val="Calibri"/>
        <family val="2"/>
        <charset val="204"/>
        <scheme val="minor"/>
      </rPr>
      <t>не можеш да промениш чувство, което не забелязваш</t>
    </r>
    <r>
      <rPr>
        <sz val="11"/>
        <color theme="1"/>
        <rFont val="Calibri"/>
        <family val="2"/>
        <scheme val="minor"/>
      </rPr>
      <t>.</t>
    </r>
  </si>
  <si>
    <t>2. Спри автоматичната реакция</t>
  </si>
  <si>
    <t>Дишай дълбоко (3–5 пъти бавно).</t>
  </si>
  <si>
    <r>
      <t xml:space="preserve">Когато почувстваш силна емоция — </t>
    </r>
    <r>
      <rPr>
        <b/>
        <sz val="11"/>
        <color theme="1"/>
        <rFont val="Calibri"/>
        <family val="2"/>
        <charset val="204"/>
        <scheme val="minor"/>
      </rPr>
      <t>не действай веднага</t>
    </r>
  </si>
  <si>
    <r>
      <t>Това моментално премества активността</t>
    </r>
    <r>
      <rPr>
        <b/>
        <sz val="11"/>
        <color theme="1"/>
        <rFont val="Calibri"/>
        <family val="2"/>
        <charset val="204"/>
        <scheme val="minor"/>
      </rPr>
      <t xml:space="preserve"> от емоционалния мозък</t>
    </r>
    <r>
      <rPr>
        <sz val="11"/>
        <color theme="1"/>
        <rFont val="Calibri"/>
        <family val="2"/>
        <scheme val="minor"/>
      </rPr>
      <t xml:space="preserve"> (амигдалата) </t>
    </r>
    <r>
      <rPr>
        <b/>
        <sz val="11"/>
        <color theme="1"/>
        <rFont val="Calibri"/>
        <family val="2"/>
        <charset val="204"/>
        <scheme val="minor"/>
      </rPr>
      <t>към съзнателния</t>
    </r>
    <r>
      <rPr>
        <sz val="11"/>
        <color theme="1"/>
        <rFont val="Calibri"/>
        <family val="2"/>
        <scheme val="minor"/>
      </rPr>
      <t xml:space="preserve"> (префронтален кортекс)</t>
    </r>
  </si>
  <si>
    <r>
      <t xml:space="preserve">Самото </t>
    </r>
    <r>
      <rPr>
        <b/>
        <sz val="11"/>
        <color theme="1"/>
        <rFont val="Calibri"/>
        <family val="2"/>
        <charset val="204"/>
        <scheme val="minor"/>
      </rPr>
      <t>назоваване</t>
    </r>
    <r>
      <rPr>
        <sz val="11"/>
        <color theme="1"/>
        <rFont val="Calibri"/>
        <family val="2"/>
        <scheme val="minor"/>
      </rPr>
      <t xml:space="preserve"> вече ти дава </t>
    </r>
    <r>
      <rPr>
        <b/>
        <sz val="11"/>
        <color theme="1"/>
        <rFont val="Calibri"/>
        <family val="2"/>
        <charset val="204"/>
        <scheme val="minor"/>
      </rPr>
      <t>контрол</t>
    </r>
  </si>
  <si>
    <t>3. Промени мисълта, която я създава</t>
  </si>
  <si>
    <t>Емоцията е резултат от начина, по който мислиш</t>
  </si>
  <si>
    <t>Питай се:</t>
  </si>
  <si>
    <t>Какво точно си казах, за да се почувствам така?</t>
  </si>
  <si>
    <t>Мога ли да го видя по друг начин?</t>
  </si>
  <si>
    <t>Ако някой друг ми го каже, бих ли реагирал така?</t>
  </si>
  <si>
    <t>Съзнателната смяна на мисълта → променя чувството</t>
  </si>
  <si>
    <t>4. Промени физиологията</t>
  </si>
  <si>
    <t>Изправи стойката, движи се, направи 10 дълбоки вдишвания или студен душ</t>
  </si>
  <si>
    <t>Тялото и емоциите са свързани.</t>
  </si>
  <si>
    <t>5. Препрограмирай подсъзнанието</t>
  </si>
  <si>
    <t>Повтарящите се емоции идват от стари програми</t>
  </si>
  <si>
    <t>Тях можеш да „размекнеш“ чрез:</t>
  </si>
  <si>
    <r>
      <rPr>
        <b/>
        <sz val="11"/>
        <color theme="1"/>
        <rFont val="Calibri"/>
        <family val="2"/>
        <charset val="204"/>
        <scheme val="minor"/>
      </rPr>
      <t xml:space="preserve">Медитация </t>
    </r>
    <r>
      <rPr>
        <sz val="11"/>
        <color theme="1"/>
        <rFont val="Calibri"/>
        <family val="2"/>
        <scheme val="minor"/>
      </rPr>
      <t>(осъзнаване и освобождаване на емоции)</t>
    </r>
  </si>
  <si>
    <r>
      <rPr>
        <b/>
        <sz val="11"/>
        <color theme="1"/>
        <rFont val="Calibri"/>
        <family val="2"/>
        <charset val="204"/>
        <scheme val="minor"/>
      </rPr>
      <t>Визуализация</t>
    </r>
    <r>
      <rPr>
        <sz val="11"/>
        <color theme="1"/>
        <rFont val="Calibri"/>
        <family val="2"/>
        <scheme val="minor"/>
      </rPr>
      <t xml:space="preserve"> (представи си как реагираш спокойно).</t>
    </r>
  </si>
  <si>
    <r>
      <rPr>
        <b/>
        <sz val="11"/>
        <color theme="1"/>
        <rFont val="Calibri"/>
        <family val="2"/>
        <charset val="204"/>
        <scheme val="minor"/>
      </rPr>
      <t>Аффирмации</t>
    </r>
    <r>
      <rPr>
        <sz val="11"/>
        <color theme="1"/>
        <rFont val="Calibri"/>
        <family val="2"/>
        <scheme val="minor"/>
      </rPr>
      <t xml:space="preserve"> („Аз избирам да бъда спокоен“, „Мога да управлявам емоциите си“)</t>
    </r>
  </si>
  <si>
    <t>С времето това става естествено — подсъзнателен навик</t>
  </si>
  <si>
    <t>6. Не потискай, а трансформирай</t>
  </si>
  <si>
    <r>
      <t xml:space="preserve">Контролът не означава да „не чувстваш“, а </t>
    </r>
    <r>
      <rPr>
        <b/>
        <sz val="11"/>
        <color theme="1"/>
        <rFont val="Calibri"/>
        <family val="2"/>
        <charset val="204"/>
        <scheme val="minor"/>
      </rPr>
      <t>да чувстваш съзнателно</t>
    </r>
  </si>
  <si>
    <t>Да усещаш енергията на емоцията, но да не ѝ позволяваш да управлява решенията ти</t>
  </si>
  <si>
    <t>Етап</t>
  </si>
  <si>
    <t>Какво правиш</t>
  </si>
  <si>
    <t>Осъзнаваш емоцията</t>
  </si>
  <si>
    <t>Спираш автоматиката</t>
  </si>
  <si>
    <t>Дишаш, назоваваш</t>
  </si>
  <si>
    <t>Връщаш се в съзнанието</t>
  </si>
  <si>
    <t>Променяш мисълта</t>
  </si>
  <si>
    <t>Променяш чувството</t>
  </si>
  <si>
    <t>Движиш тялото</t>
  </si>
  <si>
    <t>Освобождаваш енергия</t>
  </si>
  <si>
    <t>Препрограмираш</t>
  </si>
  <si>
    <t>Ставаш спокоен по навик</t>
  </si>
  <si>
    <t>Какво чувствам?</t>
  </si>
  <si>
    <t>Какво мисля?</t>
  </si>
  <si>
    <t>Споделям какво ми се е случило с близки хора</t>
  </si>
  <si>
    <r>
      <rPr>
        <b/>
        <sz val="11"/>
        <color theme="1"/>
        <rFont val="Calibri"/>
        <family val="2"/>
        <charset val="204"/>
        <scheme val="minor"/>
      </rPr>
      <t>Назови емоцията</t>
    </r>
    <r>
      <rPr>
        <sz val="11"/>
        <color theme="1"/>
        <rFont val="Calibri"/>
        <family val="2"/>
        <scheme val="minor"/>
      </rPr>
      <t>: „</t>
    </r>
    <r>
      <rPr>
        <sz val="11"/>
        <color rgb="FF7D7DFF"/>
        <rFont val="Calibri"/>
        <family val="2"/>
        <charset val="204"/>
        <scheme val="minor"/>
      </rPr>
      <t>Сега усещам гняв / страх / вина</t>
    </r>
    <r>
      <rPr>
        <sz val="11"/>
        <color theme="1"/>
        <rFont val="Calibri"/>
        <family val="2"/>
        <scheme val="minor"/>
      </rPr>
      <t>.</t>
    </r>
  </si>
  <si>
    <t>Спокоен ум</t>
  </si>
  <si>
    <r>
      <t xml:space="preserve">1. </t>
    </r>
    <r>
      <rPr>
        <b/>
        <sz val="11"/>
        <color theme="1"/>
        <rFont val="Calibri"/>
        <family val="2"/>
        <charset val="204"/>
        <scheme val="minor"/>
      </rPr>
      <t>Психологично ниво</t>
    </r>
    <r>
      <rPr>
        <sz val="11"/>
        <color theme="1"/>
        <rFont val="Calibri"/>
        <family val="2"/>
        <charset val="204"/>
        <scheme val="minor"/>
      </rPr>
      <t xml:space="preserve"> – спокойният ум е условие за яснота и креативност</t>
    </r>
  </si>
  <si>
    <t>Когато умът е спокоен, намалява шумът от вътрешния диалог („а дали ще стане“, „какво ще кажат хората“, „дали не сбърках“)</t>
  </si>
  <si>
    <t>Този вътрешен шум изяжда фокуса и паметта.</t>
  </si>
  <si>
    <t>Когато изчезне — вниманието се освобождава и се появява:</t>
  </si>
  <si>
    <t>повече идеи,</t>
  </si>
  <si>
    <t>по-добри решения,</t>
  </si>
  <si>
    <t>естествено усещане за увереност</t>
  </si>
  <si>
    <t>Това е моментът, в който казваме: „идеи просто ми идват“ — всъщност умът вече не пречи на потока.</t>
  </si>
  <si>
    <t>Когато си спокоен:</t>
  </si>
  <si>
    <t>Намалява кортизолът (хормонът на стреса)</t>
  </si>
  <si>
    <t>Повишава се серотонинът и допаминът — химията на фокуса и мотивацията;</t>
  </si>
  <si>
    <t>Кръвта се отдръпва от центровете за „оцеляване“ и отива към префронталния кортекс — зоната на планирането, логиката, творчеството.</t>
  </si>
  <si>
    <t>Спокойствието не е липса на движение — то е биологичен достъп до висшите способности на мозъка</t>
  </si>
  <si>
    <r>
      <t xml:space="preserve">3. </t>
    </r>
    <r>
      <rPr>
        <b/>
        <sz val="11"/>
        <color theme="1"/>
        <rFont val="Calibri"/>
        <family val="2"/>
        <charset val="204"/>
        <scheme val="minor"/>
      </rPr>
      <t>Енергийно ниво</t>
    </r>
    <r>
      <rPr>
        <sz val="11"/>
        <color theme="1"/>
        <rFont val="Calibri"/>
        <family val="2"/>
        <scheme val="minor"/>
      </rPr>
      <t xml:space="preserve"> – спокойният ум е отворен ум</t>
    </r>
  </si>
  <si>
    <r>
      <t xml:space="preserve">2. </t>
    </r>
    <r>
      <rPr>
        <b/>
        <sz val="11"/>
        <color theme="1"/>
        <rFont val="Calibri"/>
        <family val="2"/>
        <charset val="204"/>
        <scheme val="minor"/>
      </rPr>
      <t xml:space="preserve">Биологично ниво </t>
    </r>
    <r>
      <rPr>
        <sz val="11"/>
        <color theme="1"/>
        <rFont val="Calibri"/>
        <family val="2"/>
        <charset val="204"/>
        <scheme val="minor"/>
      </rPr>
      <t>– физиологията на спокойствието</t>
    </r>
  </si>
  <si>
    <t>Джо Диспенза, например, обяснява, че когато мислите са хаотични, електромагнитното поле на мозъка е разпръснато — няма ясен сигнал към квантовото поле</t>
  </si>
  <si>
    <t>емоциите се подравняват,</t>
  </si>
  <si>
    <t>Когато умът се успокои — мисълта става кохерентна, синхронизирана, и тогава:</t>
  </si>
  <si>
    <t>подсъзнанието „чува“ ясно намерението</t>
  </si>
  <si>
    <t>реалността започва да се подрежда според тази чистота на вибрацията.</t>
  </si>
  <si>
    <t>Обобщено:</t>
  </si>
  <si>
    <t>Стресът създава хаос, спокойствието създава посока</t>
  </si>
  <si>
    <t>„В тишината на ума, желанието ти става заповед към Вселената.“</t>
  </si>
  <si>
    <t>Или както казва Невил Годард:</t>
  </si>
  <si>
    <t>спокоен ум, без минало и бъдеще</t>
  </si>
  <si>
    <t>събиране на информация</t>
  </si>
  <si>
    <t>Защо искам това?</t>
  </si>
  <si>
    <t>Аз съм човек, който се грижи за тялото си</t>
  </si>
  <si>
    <t>дисциплина</t>
  </si>
  <si>
    <t>задача 1</t>
  </si>
  <si>
    <t>задача 2</t>
  </si>
  <si>
    <t>задача 3</t>
  </si>
  <si>
    <t>задача 4</t>
  </si>
  <si>
    <t>задача 5</t>
  </si>
  <si>
    <t>задача 6</t>
  </si>
  <si>
    <t>time</t>
  </si>
  <si>
    <t>goal 1</t>
  </si>
  <si>
    <t>goal 2</t>
  </si>
  <si>
    <t>Възприемане на думите</t>
  </si>
  <si>
    <t>1. Къде се възприемат думите — съзнание или подсъзнание?</t>
  </si>
  <si>
    <r>
      <t xml:space="preserve">Думите </t>
    </r>
    <r>
      <rPr>
        <b/>
        <sz val="11"/>
        <color theme="1"/>
        <rFont val="Calibri"/>
        <family val="2"/>
        <charset val="204"/>
        <scheme val="minor"/>
      </rPr>
      <t>първо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преминават през съзнанието</t>
    </r>
    <r>
      <rPr>
        <sz val="11"/>
        <color theme="1"/>
        <rFont val="Calibri"/>
        <family val="2"/>
        <scheme val="minor"/>
      </rPr>
      <t>, защото те са информация — звуци, изрази, символи.</t>
    </r>
  </si>
  <si>
    <r>
      <t xml:space="preserve">Твоето </t>
    </r>
    <r>
      <rPr>
        <b/>
        <sz val="11"/>
        <color theme="1"/>
        <rFont val="Calibri"/>
        <family val="2"/>
        <charset val="204"/>
        <scheme val="minor"/>
      </rPr>
      <t>съзнание</t>
    </r>
    <r>
      <rPr>
        <sz val="11"/>
        <color theme="1"/>
        <rFont val="Calibri"/>
        <family val="2"/>
        <scheme val="minor"/>
      </rPr>
      <t xml:space="preserve"> ги </t>
    </r>
    <r>
      <rPr>
        <b/>
        <sz val="11"/>
        <color theme="1"/>
        <rFont val="Calibri"/>
        <family val="2"/>
        <charset val="204"/>
        <scheme val="minor"/>
      </rPr>
      <t>чува, разбира</t>
    </r>
    <r>
      <rPr>
        <sz val="11"/>
        <color theme="1"/>
        <rFont val="Calibri"/>
        <family val="2"/>
        <scheme val="minor"/>
      </rPr>
      <t xml:space="preserve"> логически и преценява:</t>
    </r>
  </si>
  <si>
    <r>
      <t xml:space="preserve">Но…  ако думите са </t>
    </r>
    <r>
      <rPr>
        <b/>
        <sz val="11"/>
        <color theme="1"/>
        <rFont val="Calibri"/>
        <family val="2"/>
        <charset val="204"/>
        <scheme val="minor"/>
      </rPr>
      <t>емоционално наситени</t>
    </r>
    <r>
      <rPr>
        <sz val="11"/>
        <color theme="1"/>
        <rFont val="Calibri"/>
        <family val="2"/>
        <scheme val="minor"/>
      </rPr>
      <t xml:space="preserve"> (тон, изражение, значение, спомен), те минават отвъд логиката и се </t>
    </r>
    <r>
      <rPr>
        <b/>
        <sz val="11"/>
        <color theme="1"/>
        <rFont val="Calibri"/>
        <family val="2"/>
        <charset val="204"/>
        <scheme val="minor"/>
      </rPr>
      <t>спускат</t>
    </r>
    <r>
      <rPr>
        <sz val="11"/>
        <color theme="1"/>
        <rFont val="Calibri"/>
        <family val="2"/>
        <scheme val="minor"/>
      </rPr>
      <t xml:space="preserve"> в </t>
    </r>
    <r>
      <rPr>
        <b/>
        <sz val="11"/>
        <color theme="1"/>
        <rFont val="Calibri"/>
        <family val="2"/>
        <charset val="204"/>
        <scheme val="minor"/>
      </rPr>
      <t>подсъзнанието</t>
    </r>
  </si>
  <si>
    <t>Там се случва записът — защото подсъзнанието не анализира, а реагира емоционално</t>
  </si>
  <si>
    <t>То не пита „това вярно ли е?“, а просто приема усещането, което думите носят</t>
  </si>
  <si>
    <t>2. Как думите влияят на емоциите</t>
  </si>
  <si>
    <t>Всяка дума носи емоционален заряд — позитивен, неутрален или негативен.</t>
  </si>
  <si>
    <t>Подсъзнанието реагира не на думата, а на вибрацията и енергията ѝ (тона, намерението, контекста)</t>
  </si>
  <si>
    <t>Например:</t>
  </si>
  <si>
    <t>Ако каже „ти нищо не можеш“ — дори и да не му вярваш, тялото се свива, появява се кортизол (стрес)</t>
  </si>
  <si>
    <t>Ако някой каже „гордея се с теб“ — сърцето ти се отваря, хормоните на удоволствието (допамин, окситоцин) се повишават.</t>
  </si>
  <si>
    <t>Така думите създават емоционални състояния, дори без реални действия.</t>
  </si>
  <si>
    <t>3 . Как емоциите променят мислите</t>
  </si>
  <si>
    <t>След като думите породят чувство, емоцията започва да влияе върху мислите</t>
  </si>
  <si>
    <t>Когато емоцията е позитивна → умът мисли по-творчески, открито, уверено</t>
  </si>
  <si>
    <t>Когато емоцията е негативна → мислите стават защитни, страхливи, ограничаващи</t>
  </si>
  <si>
    <t>4. И тук идва силата на осъзнатостта</t>
  </si>
  <si>
    <t>Когато осъзнаеш, че думите не са истина, а просто вибрация, която можеш да приемеш или да отхвърлиш -ти започваш да живееш от позицията на съзнание, а не реакция.</t>
  </si>
  <si>
    <t>Това е състоянието на емоционална свобода — да не бъдеш роб на чуждите думи.</t>
  </si>
  <si>
    <t>Накратко:</t>
  </si>
  <si>
    <t>Какво се случва</t>
  </si>
  <si>
    <t>Къде се проявява</t>
  </si>
  <si>
    <t>Звук, информация</t>
  </si>
  <si>
    <t>Съзнанието</t>
  </si>
  <si>
    <t>Вибрация, тон, емоция</t>
  </si>
  <si>
    <t>Подсъзнанието</t>
  </si>
  <si>
    <t>Емоция → мисъл → поведение</t>
  </si>
  <si>
    <t>И двете</t>
  </si>
  <si>
    <t>Избор как да реагираш</t>
  </si>
  <si>
    <t>Съзнанието (висшия Аз)</t>
  </si>
  <si>
    <t>Реакцията</t>
  </si>
  <si>
    <t>Усещането</t>
  </si>
  <si>
    <t>Думата</t>
  </si>
  <si>
    <t>Осъзнаването</t>
  </si>
  <si>
    <t>Контролиране</t>
  </si>
  <si>
    <t>Какво контролирам</t>
  </si>
  <si>
    <t>моите граници</t>
  </si>
  <si>
    <t>моята реакция, отоговор</t>
  </si>
  <si>
    <t>моята енергия</t>
  </si>
  <si>
    <t>начина по който говоря</t>
  </si>
  <si>
    <t>с кой да прекарам времето си</t>
  </si>
  <si>
    <t>моето поведение</t>
  </si>
  <si>
    <t>как обработвам емоциите си</t>
  </si>
  <si>
    <t>начина по който се отнасям към околните</t>
  </si>
  <si>
    <t>разговора с мен самия</t>
  </si>
  <si>
    <t>Какво не контролирам</t>
  </si>
  <si>
    <t>мнението на другите за мен</t>
  </si>
  <si>
    <t>бъдещето</t>
  </si>
  <si>
    <t>остаряването</t>
  </si>
  <si>
    <t>какво говорят за мен</t>
  </si>
  <si>
    <t>външните събития</t>
  </si>
  <si>
    <t>начина по който хората се отнасят към мен</t>
  </si>
  <si>
    <t>времето</t>
  </si>
  <si>
    <t>миналото</t>
  </si>
  <si>
    <t>резултатите</t>
  </si>
  <si>
    <t>вярванията на другите хора</t>
  </si>
  <si>
    <t>стъпки</t>
  </si>
  <si>
    <t>период</t>
  </si>
  <si>
    <t>План</t>
  </si>
  <si>
    <t>Организация</t>
  </si>
  <si>
    <t>Подреждане на стъпките, подготовка за действието</t>
  </si>
  <si>
    <t>цел - какво искаме да постигнем</t>
  </si>
  <si>
    <t>стъпки - какво ще направим за да постигнем целта си</t>
  </si>
  <si>
    <t>период - за какъв период време ще правим стъпките</t>
  </si>
  <si>
    <t>Плана се състои от:</t>
  </si>
  <si>
    <t>Действие, дисциплина</t>
  </si>
  <si>
    <t>Това е реалното нещо което реализира нашия план</t>
  </si>
  <si>
    <t>1. Пазаруване не продукти предварително, за да може кога то дойде сряда или неделя да няма пречки на действието(готвене)</t>
  </si>
  <si>
    <t>2. Записване на бокс, подсигуряване на хранене 2 часа преди тренировка</t>
  </si>
  <si>
    <t>3. Може да бъде подготвка на настроението за тренировка(хубава музика)</t>
  </si>
  <si>
    <t>Да достигна до най-върховната си версия</t>
  </si>
  <si>
    <t>Да създам семейство</t>
  </si>
  <si>
    <t>Да купя жилище</t>
  </si>
  <si>
    <t>какво искам наистина:</t>
  </si>
  <si>
    <t>Да достигна най-върховната си версия</t>
  </si>
  <si>
    <t>Физически силен</t>
  </si>
  <si>
    <t>Духовно силен</t>
  </si>
  <si>
    <t>Добро здраве</t>
  </si>
  <si>
    <t>жена и деца</t>
  </si>
  <si>
    <t>Стъпки</t>
  </si>
  <si>
    <t>Храна</t>
  </si>
  <si>
    <t>Тренировки</t>
  </si>
  <si>
    <t>Бокс</t>
  </si>
  <si>
    <t>Книги</t>
  </si>
  <si>
    <t>Себепознаване</t>
  </si>
  <si>
    <t>Здравословни хранене</t>
  </si>
  <si>
    <t>запознанства с жени</t>
  </si>
  <si>
    <t>Период</t>
  </si>
  <si>
    <t>Обкръжение</t>
  </si>
  <si>
    <t>действие 1</t>
  </si>
  <si>
    <t>действие 2</t>
  </si>
  <si>
    <t>действие 3</t>
  </si>
  <si>
    <t>организация, аларма, подпис</t>
  </si>
  <si>
    <t>Живота ми ще отиде от 0 до 100 много бързо</t>
  </si>
  <si>
    <t>Виждам си като много успял</t>
  </si>
  <si>
    <t>1 година</t>
  </si>
  <si>
    <t>петък - бокс</t>
  </si>
  <si>
    <t>Започвам</t>
  </si>
  <si>
    <t>Истинаската промяна не става с мотивация, става с идентичност, Трябва да станеш човека който вече живее този живор</t>
  </si>
  <si>
    <t>Аз продължавам</t>
  </si>
  <si>
    <t>Висок доход</t>
  </si>
  <si>
    <t>Incomes</t>
  </si>
  <si>
    <t>Salary</t>
  </si>
  <si>
    <t>self labor</t>
  </si>
  <si>
    <t>Time</t>
  </si>
  <si>
    <t>kcal</t>
  </si>
  <si>
    <t>Дневен калориен баланс</t>
  </si>
  <si>
    <r>
      <t xml:space="preserve">Мъж, 40 г., 70 кг, леко активен → поддържа около </t>
    </r>
    <r>
      <rPr>
        <b/>
        <sz val="11"/>
        <color theme="1"/>
        <rFont val="Calibri"/>
        <family val="2"/>
        <charset val="204"/>
        <scheme val="minor"/>
      </rPr>
      <t>2200–2300</t>
    </r>
    <r>
      <rPr>
        <sz val="11"/>
        <color theme="1"/>
        <rFont val="Calibri"/>
        <family val="2"/>
        <scheme val="minor"/>
      </rPr>
      <t xml:space="preserve"> kcal/ден.</t>
    </r>
  </si>
  <si>
    <r>
      <t>За да качваш 0.25–0.5 кг/седмично, ти трябват +</t>
    </r>
    <r>
      <rPr>
        <b/>
        <sz val="11"/>
        <color theme="1"/>
        <rFont val="Calibri"/>
        <family val="2"/>
        <charset val="204"/>
        <scheme val="minor"/>
      </rPr>
      <t>300–500 kcal/ден</t>
    </r>
    <r>
      <rPr>
        <sz val="11"/>
        <color theme="1"/>
        <rFont val="Calibri"/>
        <family val="2"/>
        <scheme val="minor"/>
      </rPr>
      <t>, т.е. около 2600–2700 kcal/ден</t>
    </r>
  </si>
  <si>
    <t>Необходими</t>
  </si>
  <si>
    <t>Кал. Излишък</t>
  </si>
  <si>
    <t>Калории</t>
  </si>
  <si>
    <t>Вид</t>
  </si>
  <si>
    <t>Протеинови източници</t>
  </si>
  <si>
    <t>Протеини (g)</t>
  </si>
  <si>
    <t>Мазнини (g)</t>
  </si>
  <si>
    <t>Въглехидрати (g)</t>
  </si>
  <si>
    <t>Пилешко филе</t>
  </si>
  <si>
    <t>Пуешко филе</t>
  </si>
  <si>
    <t>Телешко месо</t>
  </si>
  <si>
    <t>Свинско месо (бут)</t>
  </si>
  <si>
    <t>Риба (ципура, сьомга)</t>
  </si>
  <si>
    <t>Яйце (1 бр ~60 г)</t>
  </si>
  <si>
    <t>13 (за 100 г)</t>
  </si>
  <si>
    <t>Извара (3%)</t>
  </si>
  <si>
    <t>Кисело мляко (3.6%)</t>
  </si>
  <si>
    <t>Протеинов шейк (суроватка)</t>
  </si>
  <si>
    <t>за 100 грама продукт</t>
  </si>
  <si>
    <t>Въглехидратни източници</t>
  </si>
  <si>
    <t>Протеини</t>
  </si>
  <si>
    <t>Мазнини</t>
  </si>
  <si>
    <t>Въглехидрати</t>
  </si>
  <si>
    <t>Ориз (суров)</t>
  </si>
  <si>
    <t>Ориз (сварен)</t>
  </si>
  <si>
    <t>Овесени ядки</t>
  </si>
  <si>
    <t>Картофи (сварени)</t>
  </si>
  <si>
    <t>Сладки картофи</t>
  </si>
  <si>
    <t>Пълнозърнест хляб</t>
  </si>
  <si>
    <t>Булгур / Кус-кус</t>
  </si>
  <si>
    <t>Банан</t>
  </si>
  <si>
    <t>Ябълка</t>
  </si>
  <si>
    <t>Мазнини и енергийни добавки</t>
  </si>
  <si>
    <t>Авокадо</t>
  </si>
  <si>
    <t>Зехтин</t>
  </si>
  <si>
    <t>Масло (краве)</t>
  </si>
  <si>
    <t>Ядки (бадеми, орехи, лешници)</t>
  </si>
  <si>
    <t>Фъстъчено масло</t>
  </si>
  <si>
    <t>Ленено семе / чия</t>
  </si>
  <si>
    <t>Зеленчуци и допълнения</t>
  </si>
  <si>
    <t>Броколи</t>
  </si>
  <si>
    <t>Спанак</t>
  </si>
  <si>
    <t>Домати</t>
  </si>
  <si>
    <t>Краставици</t>
  </si>
  <si>
    <t>Моркови</t>
  </si>
  <si>
    <t>Дневен прием</t>
  </si>
  <si>
    <t>#</t>
  </si>
  <si>
    <t>Кол</t>
  </si>
  <si>
    <t>Ст-ст</t>
  </si>
  <si>
    <t>Закуска</t>
  </si>
  <si>
    <t>Обяд</t>
  </si>
  <si>
    <t>очакване на добро</t>
  </si>
  <si>
    <t>Profit</t>
  </si>
  <si>
    <t>Вечеря</t>
  </si>
  <si>
    <t>Схема</t>
  </si>
  <si>
    <t>Възможни източници на доход</t>
  </si>
  <si>
    <t>Голяма фирма</t>
  </si>
  <si>
    <t>Подходящи хора</t>
  </si>
  <si>
    <t>Пламен</t>
  </si>
  <si>
    <t>Започване на работа като програмист</t>
  </si>
  <si>
    <t>Евгени, Ники Секулов</t>
  </si>
  <si>
    <t>Клиенти за апартаментни табла</t>
  </si>
  <si>
    <t>Предстоящи</t>
  </si>
  <si>
    <t>25,04,2026</t>
  </si>
  <si>
    <t>Django advanced</t>
  </si>
  <si>
    <t>Марто</t>
  </si>
  <si>
    <t>някой друг клиент</t>
  </si>
  <si>
    <t>Стефан Янков, Димо, Сашо В</t>
  </si>
  <si>
    <t>С какво аз мога да помогна на важните за мен хора</t>
  </si>
  <si>
    <t>Майка</t>
  </si>
  <si>
    <t>зъболекар</t>
  </si>
  <si>
    <t>Марин</t>
  </si>
  <si>
    <t>Марко</t>
  </si>
  <si>
    <t>Пешо</t>
  </si>
  <si>
    <t>работа като поддръжка</t>
  </si>
  <si>
    <t>Емко</t>
  </si>
  <si>
    <t>Жико</t>
  </si>
  <si>
    <t>запознаване с жена</t>
  </si>
  <si>
    <t>лампа в кухнята, запознаване с жена</t>
  </si>
  <si>
    <t>спиране на алкохол, запознаване с жена</t>
  </si>
  <si>
    <t>намиране на работа от която ще научи занаят</t>
  </si>
  <si>
    <t>възможности</t>
  </si>
  <si>
    <t>цели</t>
  </si>
  <si>
    <t>С какво могат да ми помогнат хората които познавам</t>
  </si>
  <si>
    <t>Какво да търся</t>
  </si>
  <si>
    <t>Човек, който има много връзки, познанства</t>
  </si>
  <si>
    <t>Човек, който може да ми намери работа като Python dev</t>
  </si>
  <si>
    <t>Човек, който може да ме запознае с жена</t>
  </si>
  <si>
    <t>Човек, който да ми помогне с бокса</t>
  </si>
  <si>
    <t>Човек, който познава богати хора</t>
  </si>
  <si>
    <t>Как аз да го направя сам</t>
  </si>
  <si>
    <t>Как да намеря възможности за да започна като Python dev</t>
  </si>
  <si>
    <t>Как мога да се запозная с жена</t>
  </si>
  <si>
    <t>Как мога да напредна с  правилен за мен хранителен режим и тренировки</t>
  </si>
  <si>
    <t>Човек, който да ми помогне с правилен хранителен режим и тренировки</t>
  </si>
  <si>
    <t>Как аз да се запозная с повече хора</t>
  </si>
  <si>
    <t>Как аз да се запозная с повече успели, богати хора</t>
  </si>
  <si>
    <t>Започване на деня</t>
  </si>
  <si>
    <t>Благодарен съм на Бог за всичко което имам</t>
  </si>
  <si>
    <t>Избирам да съм в добро настроение</t>
  </si>
  <si>
    <t>Избирам да направя добро</t>
  </si>
  <si>
    <t>Решевам да живея един прекрасен живот</t>
  </si>
  <si>
    <t xml:space="preserve">Избирам да продължа да се развивам, да подобрявам себе си </t>
  </si>
  <si>
    <t>сайт за запознанства</t>
  </si>
  <si>
    <t>библютека</t>
  </si>
  <si>
    <t>планина</t>
  </si>
  <si>
    <t>от познати</t>
  </si>
  <si>
    <t>95% от решаването на проблема е да стигнеш до правилния въпрос</t>
  </si>
  <si>
    <t>Как мога да напредна с правилен за мен хранителен режим и тренировки</t>
  </si>
  <si>
    <t>ходене по интервюта</t>
  </si>
  <si>
    <t>Как мога да започна да тренирам бокс</t>
  </si>
  <si>
    <t>Господ ме пази и е винаги с мен</t>
  </si>
  <si>
    <t>Инсталация на цял блок ново строителство</t>
  </si>
  <si>
    <t>Кога съм сериозен?</t>
  </si>
  <si>
    <t>Когато набера инерция</t>
  </si>
  <si>
    <t>Когато се съсредоточа само в целта</t>
  </si>
  <si>
    <t>Когато избягвам средата в която мога да се поддам(магазина, при Марко)</t>
  </si>
  <si>
    <t>Тhe diff between faith and belief?</t>
  </si>
  <si>
    <t>1. Belief = intellectual acceptance</t>
  </si>
  <si>
    <t>Belief is when you think something is true</t>
  </si>
  <si>
    <t>Examples:</t>
  </si>
  <si>
    <t>“I believe the Earth is round.”</t>
  </si>
  <si>
    <t>“I believe this person is honest.</t>
  </si>
  <si>
    <t>“I believe there is a higher power.”</t>
  </si>
  <si>
    <r>
      <t xml:space="preserve">Belief </t>
    </r>
    <r>
      <rPr>
        <b/>
        <sz val="11"/>
        <color theme="1"/>
        <rFont val="Calibri"/>
        <family val="2"/>
        <charset val="204"/>
        <scheme val="minor"/>
      </rPr>
      <t>doesn’t necessarily involve emotion or commitment</t>
    </r>
    <r>
      <rPr>
        <sz val="11"/>
        <color theme="1"/>
        <rFont val="Calibri"/>
        <family val="2"/>
        <scheme val="minor"/>
      </rPr>
      <t xml:space="preserve"> — it’s just accepting an idea as true</t>
    </r>
  </si>
  <si>
    <t>2. Faith = trust + commitment</t>
  </si>
  <si>
    <t>“I have faith that things will get better.”</t>
  </si>
  <si>
    <t>“I have faith in you” (trust in a person, even if you can’t predict everything).</t>
  </si>
  <si>
    <t>Religious context: faith often means trusting in God, not just believing that God exists.</t>
  </si>
  <si>
    <t>Someone can believe something is true without having faith in it</t>
  </si>
  <si>
    <t>Short version</t>
  </si>
  <si>
    <r>
      <rPr>
        <b/>
        <sz val="11"/>
        <color theme="1"/>
        <rFont val="Calibri"/>
        <family val="2"/>
        <charset val="204"/>
        <scheme val="minor"/>
      </rPr>
      <t>Belief</t>
    </r>
    <r>
      <rPr>
        <sz val="11"/>
        <color theme="1"/>
        <rFont val="Calibri"/>
        <family val="2"/>
        <scheme val="minor"/>
      </rPr>
      <t>: “I think this is true.”</t>
    </r>
  </si>
  <si>
    <r>
      <rPr>
        <b/>
        <sz val="11"/>
        <color theme="1"/>
        <rFont val="Calibri"/>
        <family val="2"/>
        <charset val="204"/>
        <scheme val="minor"/>
      </rPr>
      <t>Faith</t>
    </r>
    <r>
      <rPr>
        <sz val="11"/>
        <color theme="1"/>
        <rFont val="Calibri"/>
        <family val="2"/>
        <scheme val="minor"/>
      </rPr>
      <t>: “I trust this deeply and rely on it.”</t>
    </r>
  </si>
  <si>
    <t>Въодушевен съм Днес да стана по-добър от Вчера</t>
  </si>
  <si>
    <t>Изследвания</t>
  </si>
  <si>
    <t>1. Общ метаболитен профил</t>
  </si>
  <si>
    <t>кръвна захар</t>
  </si>
  <si>
    <t>инсулин</t>
  </si>
  <si>
    <t>HbA1c</t>
  </si>
  <si>
    <t>показват дали имаш риск от диабет и инсулинова резистентност</t>
  </si>
  <si>
    <t>2. Липиден профил</t>
  </si>
  <si>
    <t>общ холестерол</t>
  </si>
  <si>
    <t>LDL</t>
  </si>
  <si>
    <t>HDL</t>
  </si>
  <si>
    <t>триглицериди</t>
  </si>
  <si>
    <t>основен показател отт сърдечно съдов риск</t>
  </si>
  <si>
    <t>3.Чернодробна функция</t>
  </si>
  <si>
    <t>ALT</t>
  </si>
  <si>
    <t>AST</t>
  </si>
  <si>
    <t>GGT</t>
  </si>
  <si>
    <t>4. Бъбречна функция</t>
  </si>
  <si>
    <t>креатинин</t>
  </si>
  <si>
    <t>урея</t>
  </si>
  <si>
    <t>скорост на глумерулна филтрация</t>
  </si>
  <si>
    <t>5. Хормонално и общо здраве</t>
  </si>
  <si>
    <t>TSH</t>
  </si>
  <si>
    <t>FT3</t>
  </si>
  <si>
    <t>FT4</t>
  </si>
  <si>
    <t>витамин Д</t>
  </si>
  <si>
    <t>пълна кръчна картина</t>
  </si>
  <si>
    <t>дават информация за щитовидната жлеза, имунитета  и дефицити</t>
  </si>
  <si>
    <t>Навици</t>
  </si>
  <si>
    <t>алкохол събота и неделя</t>
  </si>
  <si>
    <t>лоши:</t>
  </si>
  <si>
    <t>резултат:</t>
  </si>
  <si>
    <t>губене на време</t>
  </si>
  <si>
    <t>добри:</t>
  </si>
  <si>
    <t>3 тренировки на седмица</t>
  </si>
  <si>
    <t>1 тичане на седмица</t>
  </si>
  <si>
    <t>3 face workout на седмица</t>
  </si>
  <si>
    <t>5 хубави закуски</t>
  </si>
  <si>
    <t>5 хубави вечери</t>
  </si>
  <si>
    <t>2 готвенията на седмица</t>
  </si>
  <si>
    <t>2 часа на ден Python</t>
  </si>
  <si>
    <t>добро здраве, настроение, кондиция, тяло, самочувствие</t>
  </si>
  <si>
    <t>здраво сърце, бели дробове, кръвоносна система</t>
  </si>
  <si>
    <t>свежо лице</t>
  </si>
  <si>
    <t>енергия</t>
  </si>
  <si>
    <t>подсигуряване на добра храна</t>
  </si>
  <si>
    <t>напредване в програмирането</t>
  </si>
  <si>
    <t>достатъно колиество белтъци, въглехидрати и мазнини</t>
  </si>
  <si>
    <t>scroling вечерно време</t>
  </si>
  <si>
    <t>no Python събота и неделя</t>
  </si>
  <si>
    <t>губене на инерцията</t>
  </si>
  <si>
    <t>незапочване с Python рано сутрин</t>
  </si>
  <si>
    <t>губене на настройки за учене</t>
  </si>
  <si>
    <t>неизчисляване на дневните калории</t>
  </si>
  <si>
    <t>незнание дали има излишък или дефицит</t>
  </si>
  <si>
    <t>неводене на дневен план със задачи</t>
  </si>
  <si>
    <t>пропускане на важните неща</t>
  </si>
  <si>
    <t>Думата ми към мен самия е неразрушима</t>
  </si>
  <si>
    <t>Фурми</t>
  </si>
  <si>
    <t>Сварен боб</t>
  </si>
  <si>
    <t>Аз съм най-сериозният мъж</t>
  </si>
  <si>
    <t>като определя дата</t>
  </si>
  <si>
    <t>екскурзии</t>
  </si>
  <si>
    <t>Започване на работа в Метрополитен</t>
  </si>
  <si>
    <t>Сашо Електро</t>
  </si>
  <si>
    <t>След 5 години</t>
  </si>
  <si>
    <t>Втори източник</t>
  </si>
  <si>
    <t>Добри осигуровки</t>
  </si>
  <si>
    <t>Добър набор от клиенти за частно</t>
  </si>
  <si>
    <t>Натрупан добър опит и възможност за дистанционна работа</t>
  </si>
  <si>
    <t>Натрупани набор от богати клиенти</t>
  </si>
  <si>
    <t>Добра заплата, сигурна работа</t>
  </si>
  <si>
    <t>Работа с човек с добра организация</t>
  </si>
  <si>
    <t>Тони</t>
  </si>
  <si>
    <t>Разглабяне на страничния капак</t>
  </si>
  <si>
    <t>махане на дългата лайсна</t>
  </si>
  <si>
    <t>отваряне на мокета</t>
  </si>
  <si>
    <t>изваждане на модула</t>
  </si>
  <si>
    <t>смазване на клемите със спрея</t>
  </si>
  <si>
    <t>Комфорт модул</t>
  </si>
  <si>
    <t>намиране на нов модул</t>
  </si>
  <si>
    <t>Обява 44435277</t>
  </si>
  <si>
    <t>0877 441 442</t>
  </si>
  <si>
    <t>гр. София, Белите брези</t>
  </si>
  <si>
    <t>1J0 959 799 H</t>
  </si>
  <si>
    <t>50 лв</t>
  </si>
  <si>
    <t>Обява 44435252</t>
  </si>
  <si>
    <t>1CO 962 258 J</t>
  </si>
  <si>
    <t>Обява 44435702</t>
  </si>
  <si>
    <t>1CO 962 258 N</t>
  </si>
  <si>
    <t>60 лв</t>
  </si>
  <si>
    <t>Обява 48482073</t>
  </si>
  <si>
    <t>0896 344 483</t>
  </si>
  <si>
    <t>гр. Перник, Изток</t>
  </si>
  <si>
    <t>1J0 959 799 AH</t>
  </si>
  <si>
    <t>Обява 50822278</t>
  </si>
  <si>
    <t>0886 674 175</t>
  </si>
  <si>
    <t>гр. София, Левски Г</t>
  </si>
  <si>
    <t>1C0 962 258 J</t>
  </si>
  <si>
    <t>Обява 52469692</t>
  </si>
  <si>
    <t>1J0 959 799 Q</t>
  </si>
  <si>
    <t>Обява 48482794</t>
  </si>
  <si>
    <t>1J0 959 799 J</t>
  </si>
  <si>
    <t>Посещение на адрес</t>
  </si>
  <si>
    <t>Посещение + 30 мин</t>
  </si>
  <si>
    <t>Посещение + 1 час</t>
  </si>
  <si>
    <t>Табло панелка</t>
  </si>
  <si>
    <t>Полиелей</t>
  </si>
  <si>
    <t>Луничка</t>
  </si>
  <si>
    <t>Контакт в обща рамка</t>
  </si>
  <si>
    <t>Контакт единичен</t>
  </si>
  <si>
    <t>Ключ единичен</t>
  </si>
  <si>
    <t>Ключ в обща рамка</t>
  </si>
  <si>
    <t>Електро цени</t>
  </si>
  <si>
    <t>Кашкавал</t>
  </si>
  <si>
    <t>кашкавал</t>
  </si>
  <si>
    <t>яйца</t>
  </si>
  <si>
    <t>Лаврак</t>
  </si>
  <si>
    <t>ленив, губене на цели, мързел, губене на енерция, възстановяване до вторник</t>
  </si>
  <si>
    <t>5 хубави обяда</t>
  </si>
  <si>
    <t>Product 1, Product 2</t>
  </si>
  <si>
    <t>Person 1, Person 2</t>
  </si>
  <si>
    <t>Property 1, Property 2</t>
  </si>
  <si>
    <t>Добри дневни заработки</t>
  </si>
  <si>
    <t>Толкова съм щастлив че виждам себе си успял:</t>
  </si>
  <si>
    <t>боксова круша</t>
  </si>
  <si>
    <t>План за започване тренировки по бокс</t>
  </si>
  <si>
    <t>Основна цел</t>
  </si>
  <si>
    <t>Да тренирам 1 цяла година</t>
  </si>
  <si>
    <t>Брой тренировки на седмица</t>
  </si>
  <si>
    <t>Необходими материали за започване</t>
  </si>
  <si>
    <t>Проучване на мнения, магазини</t>
  </si>
  <si>
    <t>Определяне на дата на започване</t>
  </si>
  <si>
    <t>понеделник/петък</t>
  </si>
  <si>
    <t>52 седмици * 2 тренировки = 104</t>
  </si>
  <si>
    <t>2 бокс тренировки</t>
  </si>
  <si>
    <t>самочувствие, сила, мъжественост, увереност</t>
  </si>
  <si>
    <t>Тренирам да правя неща които нямам желание да правя</t>
  </si>
  <si>
    <t>заплата * 1,4</t>
  </si>
  <si>
    <t>Нови неща които да науча</t>
  </si>
  <si>
    <t>Покриви</t>
  </si>
  <si>
    <t>Плочки</t>
  </si>
  <si>
    <t>Климатици</t>
  </si>
  <si>
    <t>Шпакловане</t>
  </si>
  <si>
    <t>Боядисване</t>
  </si>
  <si>
    <t>ръкавици, бинтове</t>
  </si>
  <si>
    <t>05,01,2026</t>
  </si>
  <si>
    <t>Ще можеш сам да си ремонтираш</t>
  </si>
  <si>
    <t>Работа като строителен надзор</t>
  </si>
  <si>
    <t>Ще имаш достатъно връзки по общини, опит, ще може да си направиш къща</t>
  </si>
  <si>
    <t>Иво Динев</t>
  </si>
  <si>
    <t>Аз съм програмист</t>
  </si>
  <si>
    <t>Работа в чужбина</t>
  </si>
  <si>
    <t>Достатъчно спестени пари</t>
  </si>
  <si>
    <t>Работа с excel в банка</t>
  </si>
  <si>
    <t>Създаване на бригада</t>
  </si>
  <si>
    <t>Около 10к на месец</t>
  </si>
  <si>
    <t>Раит + Метрополитен</t>
  </si>
  <si>
    <t>Работа като ПТО</t>
  </si>
  <si>
    <t>Изисквания към себе си</t>
  </si>
  <si>
    <t>Да се развия до пълния си потенциал</t>
  </si>
  <si>
    <t>Да съм здрав</t>
  </si>
  <si>
    <t>Да стана експерт</t>
  </si>
  <si>
    <t>Да съм щастлив</t>
  </si>
  <si>
    <t>Запознанства със строителни фирми</t>
  </si>
  <si>
    <t>Работа в голяма строителна фирма като инж</t>
  </si>
  <si>
    <t>jobs.bg, Емо</t>
  </si>
  <si>
    <t>Възможност да купя по-лесно апартамент</t>
  </si>
  <si>
    <t>Електро услуги главно в Надежда</t>
  </si>
  <si>
    <t>Неси, Facebook</t>
  </si>
  <si>
    <t>Започване в бригада с покриви, плочки, ОВК</t>
  </si>
  <si>
    <t>Геле, Васе, Тошко Теина</t>
  </si>
  <si>
    <t>Пламен, Емо Пордим</t>
  </si>
  <si>
    <t>Найден, Dk Requitment</t>
  </si>
  <si>
    <t xml:space="preserve">Сашо Raifaizen </t>
  </si>
  <si>
    <t>Собствена фирма за изработване на ел.табла</t>
  </si>
  <si>
    <t>Изграждане на опит, мрежа от клиенти</t>
  </si>
  <si>
    <t>Собствена фирма за търговия с ел. материали</t>
  </si>
  <si>
    <t>Посоки</t>
  </si>
  <si>
    <t>Какво ще се търси след 5 години?</t>
  </si>
  <si>
    <t>майстори</t>
  </si>
  <si>
    <t>ел. Фирми</t>
  </si>
  <si>
    <t>Къде ще се обменят левове в евро?</t>
  </si>
  <si>
    <r>
      <t xml:space="preserve">Българската народна банка обменя безплатно, в </t>
    </r>
    <r>
      <rPr>
        <b/>
        <sz val="11"/>
        <color theme="1"/>
        <rFont val="Calibri"/>
        <family val="2"/>
        <charset val="204"/>
        <scheme val="minor"/>
      </rPr>
      <t>неограничено количество</t>
    </r>
    <r>
      <rPr>
        <sz val="11"/>
        <color theme="1"/>
        <rFont val="Calibri"/>
        <family val="2"/>
        <charset val="204"/>
        <scheme val="minor"/>
      </rPr>
      <t xml:space="preserve"> и без ограничение във времето банкноти и монети от левове в евро по официалния валутен курс</t>
    </r>
  </si>
  <si>
    <t>През първите 6 месеца след въвеждането на еврото (1 януари – 30 юни 2026 г.) банкноти и монети могат да се обменят безплатно от левове в евро и в кредитните институции (банките)</t>
  </si>
  <si>
    <t>След изтичане на първите 6 месеца от въвеждането на еврото (1 юли – 31 декември 2026 г.) кредитните институции и „Български пощи“ ЕАД ще могат да начисляват такса за тази услуга</t>
  </si>
  <si>
    <t>След изтичане на 12 месеца от въвеждането на еврото кредитните институции и „Български пощи“ ЕАД могат да преустановят тази услуга</t>
  </si>
  <si>
    <t>Органичения</t>
  </si>
  <si>
    <t>В БНБ няма ограничения за количеството на обменените пари</t>
  </si>
  <si>
    <t>В кредитните институции също няма да има ограничение на количеството през първите 6 месеца, като за суми над 30 000 лв. на една трансакция се прави стандартната предварителна заявка от 3 работни дни</t>
  </si>
  <si>
    <t>Превалутиране</t>
  </si>
  <si>
    <r>
      <rPr>
        <b/>
        <sz val="11"/>
        <color theme="1"/>
        <rFont val="Calibri"/>
        <family val="2"/>
        <charset val="204"/>
        <scheme val="minor"/>
      </rPr>
      <t>1000</t>
    </r>
    <r>
      <rPr>
        <sz val="11"/>
        <color theme="1"/>
        <rFont val="Calibri"/>
        <family val="2"/>
        <scheme val="minor"/>
      </rPr>
      <t xml:space="preserve"> лв. ÷ 1,95583 = 511,2918811962185 евро, които по правилото за закръгляване са равни на </t>
    </r>
    <r>
      <rPr>
        <b/>
        <sz val="11"/>
        <color theme="1"/>
        <rFont val="Calibri"/>
        <family val="2"/>
        <charset val="204"/>
        <scheme val="minor"/>
      </rPr>
      <t>511.29</t>
    </r>
    <r>
      <rPr>
        <sz val="11"/>
        <color theme="1"/>
        <rFont val="Calibri"/>
        <family val="2"/>
        <scheme val="minor"/>
      </rPr>
      <t xml:space="preserve"> евро.</t>
    </r>
  </si>
  <si>
    <r>
      <rPr>
        <b/>
        <sz val="11"/>
        <color theme="1"/>
        <rFont val="Calibri"/>
        <family val="2"/>
        <charset val="204"/>
        <scheme val="minor"/>
      </rPr>
      <t>500</t>
    </r>
    <r>
      <rPr>
        <sz val="11"/>
        <color theme="1"/>
        <rFont val="Calibri"/>
        <family val="2"/>
        <scheme val="minor"/>
      </rPr>
      <t xml:space="preserve"> лв. ÷ 1,95583 = 255,6459405981092 евро, които по правилото за закръгляване са равни на </t>
    </r>
    <r>
      <rPr>
        <b/>
        <sz val="11"/>
        <color theme="1"/>
        <rFont val="Calibri"/>
        <family val="2"/>
        <charset val="204"/>
        <scheme val="minor"/>
      </rPr>
      <t>255,65</t>
    </r>
    <r>
      <rPr>
        <sz val="11"/>
        <color theme="1"/>
        <rFont val="Calibri"/>
        <family val="2"/>
        <scheme val="minor"/>
      </rPr>
      <t xml:space="preserve"> евро</t>
    </r>
  </si>
  <si>
    <t>1. ИМАШ ЕДНА дебитна карта</t>
  </si>
  <si>
    <r>
      <t xml:space="preserve">Тази карта е вързана </t>
    </r>
    <r>
      <rPr>
        <b/>
        <sz val="11"/>
        <color theme="1"/>
        <rFont val="Calibri"/>
        <family val="2"/>
        <charset val="204"/>
        <scheme val="minor"/>
      </rPr>
      <t>САМО към разплащателната сметка</t>
    </r>
    <r>
      <rPr>
        <sz val="11"/>
        <color theme="1"/>
        <rFont val="Calibri"/>
        <family val="2"/>
        <scheme val="minor"/>
      </rPr>
      <t>.</t>
    </r>
  </si>
  <si>
    <t>2. ИМАШ ДВЕ отделни сметки</t>
  </si>
  <si>
    <t>1. Спестовна сметка</t>
  </si>
  <si>
    <t>ТУК влиза целият ти income (работна заплата, преводи, приходи)</t>
  </si>
  <si>
    <t>НЯМА карта</t>
  </si>
  <si>
    <t>Не може:</t>
  </si>
  <si>
    <t>да се плаща</t>
  </si>
  <si>
    <t>да се тегли от банкомат</t>
  </si>
  <si>
    <t>Може САМО да захранва разплащателната сметка</t>
  </si>
  <si>
    <t>Това е твоят „сейф“</t>
  </si>
  <si>
    <t>2. Разплащателна сметка</t>
  </si>
  <si>
    <t>Към нея е дебитната карта</t>
  </si>
  <si>
    <t>Държиш малка сума</t>
  </si>
  <si>
    <t>Плащаш в магазини</t>
  </si>
  <si>
    <t>Теглиш от банкомат</t>
  </si>
  <si>
    <t>Това е твоят „портфейл“</t>
  </si>
  <si>
    <t>Как работи потокът на парите (много важно)</t>
  </si>
  <si>
    <t>Комбинация спестовна сметка + разплащателна сметка</t>
  </si>
  <si>
    <t>Заплатата → спестовната сметка</t>
  </si>
  <si>
    <t>Ти решаваш:</t>
  </si>
  <si>
    <t>кога</t>
  </si>
  <si>
    <t>колко</t>
  </si>
  <si>
    <t>Прехвърляш (напр. 300 €) → разплащателната</t>
  </si>
  <si>
    <t>Плащаш с картата</t>
  </si>
  <si>
    <t>Никой друг не може да мести пари между сметките</t>
  </si>
  <si>
    <t>Защо това е много сигурно</t>
  </si>
  <si>
    <t>Ако картата се компрометира:</t>
  </si>
  <si>
    <t>Може да се източи САМО разплащателната</t>
  </si>
  <si>
    <t>Спестовната остава 100% недостъпна</t>
  </si>
  <si>
    <t>Ако загубиш картата:</t>
  </si>
  <si>
    <t>Блокираш я</t>
  </si>
  <si>
    <t>Парите в спестовната са недокоснати</t>
  </si>
  <si>
    <t>Малка, но важна корекция</t>
  </si>
  <si>
    <t>Това трябва изрично да го заявиш:</t>
  </si>
  <si>
    <r>
      <rPr>
        <b/>
        <sz val="11"/>
        <color theme="1"/>
        <rFont val="Calibri"/>
        <family val="2"/>
        <charset val="204"/>
        <scheme val="minor"/>
      </rPr>
      <t>спестовната</t>
    </r>
    <r>
      <rPr>
        <sz val="11"/>
        <color theme="1"/>
        <rFont val="Calibri"/>
        <family val="2"/>
        <scheme val="minor"/>
      </rPr>
      <t xml:space="preserve"> - към която влиза целия income</t>
    </r>
  </si>
  <si>
    <t>заплатата по принцип влиза в разплащателна</t>
  </si>
  <si>
    <r>
      <t xml:space="preserve">но банката </t>
    </r>
    <r>
      <rPr>
        <b/>
        <sz val="11"/>
        <color theme="1"/>
        <rFont val="Calibri"/>
        <family val="2"/>
        <charset val="204"/>
        <scheme val="minor"/>
      </rPr>
      <t>може да я насочи към спестовна</t>
    </r>
  </si>
  <si>
    <t>Кажи в банката:</t>
  </si>
  <si>
    <t>„Искам всички входящи преводи да постъпват по спестовната сметка.“</t>
  </si>
  <si>
    <t>Обобщение с едно изречение</t>
  </si>
  <si>
    <t>Една дебитна карта</t>
  </si>
  <si>
    <t>Две сметки</t>
  </si>
  <si>
    <t>Картата вижда само малката сума</t>
  </si>
  <si>
    <t>Голямата сума е защитена</t>
  </si>
  <si>
    <t>Какво да кажеш в банката (буквално)</t>
  </si>
  <si>
    <t>„Искам дебитна карта само към разплащателна сметка и отделна спестовна сметка без карта, по която да постъпват всички мои доходи.“</t>
  </si>
  <si>
    <t>Характеристики</t>
  </si>
  <si>
    <t>какви лимити да сложиш</t>
  </si>
  <si>
    <t>дали онлайн банкирането е задължително</t>
  </si>
  <si>
    <t>дали е по-добре една или две банки</t>
  </si>
  <si>
    <t>или какво става при фалит на банка</t>
  </si>
  <si>
    <t>Да, но когао се две сметки(спестовна и разплащателна) ще бъде ли начислявана такса и за двете карти?</t>
  </si>
  <si>
    <t>Спестовна</t>
  </si>
  <si>
    <t>Разплащателна</t>
  </si>
  <si>
    <t>Плащания</t>
  </si>
  <si>
    <t>Модела - Само разплащателна сметка</t>
  </si>
  <si>
    <t>Една разплащателна сметка</t>
  </si>
  <si>
    <t>Онлайн банкиране – активно</t>
  </si>
  <si>
    <t>дневен лимит за плащане</t>
  </si>
  <si>
    <t>дневен лимит за теглене</t>
  </si>
  <si>
    <t>class Bill:</t>
  </si>
  <si>
    <t>class Card:</t>
  </si>
  <si>
    <t>online()</t>
  </si>
  <si>
    <t>daily_payment_limit()</t>
  </si>
  <si>
    <t>daily_withdraw_limit()</t>
  </si>
  <si>
    <t>Лимити → не може да се източи всичко наведнъж</t>
  </si>
  <si>
    <t>Онлайн банкиране → виждат веднага движенията</t>
  </si>
  <si>
    <t>Блокиране на карта → бързо при проблем</t>
  </si>
  <si>
    <t>Това е напълно достатъчно за 80–90% от хората.</t>
  </si>
  <si>
    <t>Какво е защитено добре</t>
  </si>
  <si>
    <t>Плащане в магазини → много нисък риск</t>
  </si>
  <si>
    <t>Загубена карта → блокира се</t>
  </si>
  <si>
    <t>Безконтакт → има лимити</t>
  </si>
  <si>
    <t>Къде е слабата точка</t>
  </si>
  <si>
    <t>Всички пари са на едно място</t>
  </si>
  <si>
    <t>При:</t>
  </si>
  <si>
    <t>фишинг</t>
  </si>
  <si>
    <t>компрометирано онлайн банкиране</t>
  </si>
  <si>
    <t>социално инженерство</t>
  </si>
  <si>
    <t>целият баланс е теоретично достъпен, макар и с лимити</t>
  </si>
  <si>
    <t>SMS известия</t>
  </si>
  <si>
    <t>Компромисен вариант (много добър)</t>
  </si>
  <si>
    <t>Ако не искаш две сметки:</t>
  </si>
  <si>
    <t>Една разплащателна</t>
  </si>
  <si>
    <t>МНОГО ниски лимити (напр. 200–300 €)</t>
  </si>
  <si>
    <t>Онлайн банкиране</t>
  </si>
  <si>
    <t>Част от парите в друга банка или спестовна без карта</t>
  </si>
  <si>
    <t>Какво да гледаш при избор на карта</t>
  </si>
  <si>
    <t>Такса за поддръжка на сметка (месечна/годишна)</t>
  </si>
  <si>
    <t>Такса за теглене от банкомат (особено чужди банкомати)</t>
  </si>
  <si>
    <t>Такси за плащане в чужбина</t>
  </si>
  <si>
    <t>Такси за SMS/известия</t>
  </si>
  <si>
    <t>Лимити за плащане/теглене</t>
  </si>
  <si>
    <t>Дали онлайн банкирането е задължително</t>
  </si>
  <si>
    <t>Какво е онлайн банкиране</t>
  </si>
  <si>
    <t>Онлайн банкиране = достъп до сметката ти:</t>
  </si>
  <si>
    <t>през мобилно приложение</t>
  </si>
  <si>
    <t>или през уеб сайт</t>
  </si>
  <si>
    <t>със парола + код / биометрия</t>
  </si>
  <si>
    <t>С него можеш:</t>
  </si>
  <si>
    <t>да виждаш баланса си</t>
  </si>
  <si>
    <t>да виждаш движенията по сметката</t>
  </si>
  <si>
    <t>да прехвърляш пари между собствените си сметки</t>
  </si>
  <si>
    <t>да блокираш карта</t>
  </si>
  <si>
    <t>да променяш лимити</t>
  </si>
  <si>
    <t>Не е задължително да правиш преводи към други хора, ако не искаш</t>
  </si>
  <si>
    <t>Видове онлайн банкиране</t>
  </si>
  <si>
    <t>Мобилно банкиране</t>
  </si>
  <si>
    <t>приложение на телефона</t>
  </si>
  <si>
    <t>най-удобно</t>
  </si>
  <si>
    <t>най-бързо за блокиране на карта</t>
  </si>
  <si>
    <t>Интернет банкиране (браузър)</t>
  </si>
  <si>
    <t>през компютър</t>
  </si>
  <si>
    <t>по-рядко използвано</t>
  </si>
  <si>
    <t>Можеш да имаш само мобилно, ако искаш</t>
  </si>
  <si>
    <t>Най-добрата настройка за теб</t>
  </si>
  <si>
    <t>Функции:</t>
  </si>
  <si>
    <t>само преглед</t>
  </si>
  <si>
    <t>преводи между твои сметки</t>
  </si>
  <si>
    <t>блокиране на карта</t>
  </si>
  <si>
    <t>известие за всяка транзакция</t>
  </si>
  <si>
    <t>Изключено:</t>
  </si>
  <si>
    <t>преводи към други хора</t>
  </si>
  <si>
    <t>онлайн плащания с карта</t>
  </si>
  <si>
    <t>Въпроси към банката</t>
  </si>
  <si>
    <t>Какво мога да правя с онлайн банкирането и какво мога да изключа?</t>
  </si>
  <si>
    <t>Мога ли да го ползвам само за проверка и преводи между моите сметки?</t>
  </si>
  <si>
    <t>За функциите:</t>
  </si>
  <si>
    <t>За сигурността</t>
  </si>
  <si>
    <t>Как се влиза – с парола, код, пръстов отпечатък?</t>
  </si>
  <si>
    <t>Мога ли да получавам известие за всяко плащане?</t>
  </si>
  <si>
    <t>Мога ли сам да блокирам картата от приложението?</t>
  </si>
  <si>
    <t>Мога ли да сложа лимит за преводи през онлайн банкиране?</t>
  </si>
  <si>
    <t>За ограниченията</t>
  </si>
  <si>
    <t>Мога ли да забраня преводи към външни сметки?</t>
  </si>
  <si>
    <t>За таксите</t>
  </si>
  <si>
    <t>Има ли месечна такса за онлайн банкиране?</t>
  </si>
  <si>
    <t>Има ли такси, ако само проверявам баланса и местя пари между мои сметки?</t>
  </si>
  <si>
    <t>SMS известията платени ли са?</t>
  </si>
  <si>
    <t>Задачи</t>
  </si>
  <si>
    <t>Дневни хранения</t>
  </si>
  <si>
    <t>Учене</t>
  </si>
  <si>
    <t>Здравословни дейности</t>
  </si>
  <si>
    <t>Търсена на по-добра среда</t>
  </si>
  <si>
    <t>Данни за карта Debit/Mastercard</t>
  </si>
  <si>
    <t>Откриване</t>
  </si>
  <si>
    <t>ОББ Онлайн</t>
  </si>
  <si>
    <t>Без такса</t>
  </si>
  <si>
    <t>В банков клон:</t>
  </si>
  <si>
    <t>EUR 1</t>
  </si>
  <si>
    <t>Обслужване - месечно</t>
  </si>
  <si>
    <t>EUR 1.28</t>
  </si>
  <si>
    <t>с дебитна карта</t>
  </si>
  <si>
    <t>без дебитна карта</t>
  </si>
  <si>
    <t>EUR 2.30</t>
  </si>
  <si>
    <t>Вноска на каса (върху цялата внасяна сума)*</t>
  </si>
  <si>
    <t>0.25%, мин. EUR 1.02</t>
  </si>
  <si>
    <t>ЗА ВНОСКА на каса</t>
  </si>
  <si>
    <t>ЗА ТЕГЛЕНЕ на каса</t>
  </si>
  <si>
    <t>0.70%, мин. EUR 3.07</t>
  </si>
  <si>
    <r>
      <t xml:space="preserve">На каса на суми </t>
    </r>
    <r>
      <rPr>
        <b/>
        <sz val="11"/>
        <color theme="1"/>
        <rFont val="Calibri"/>
        <family val="2"/>
        <charset val="204"/>
        <scheme val="minor"/>
      </rPr>
      <t>до</t>
    </r>
    <r>
      <rPr>
        <sz val="11"/>
        <color theme="1"/>
        <rFont val="Calibri"/>
        <family val="2"/>
        <scheme val="minor"/>
      </rPr>
      <t xml:space="preserve"> EUR 5 000 EUR (валутна равностойност) </t>
    </r>
  </si>
  <si>
    <r>
      <t xml:space="preserve">На каса на суми </t>
    </r>
    <r>
      <rPr>
        <b/>
        <sz val="11"/>
        <color theme="1"/>
        <rFont val="Calibri"/>
        <family val="2"/>
        <charset val="204"/>
        <scheme val="minor"/>
      </rPr>
      <t>над</t>
    </r>
    <r>
      <rPr>
        <sz val="11"/>
        <color theme="1"/>
        <rFont val="Calibri"/>
        <family val="2"/>
        <scheme val="minor"/>
      </rPr>
      <t xml:space="preserve"> EUR 5 000 EUR (валутна равностойност):</t>
    </r>
  </si>
  <si>
    <t>без заявка</t>
  </si>
  <si>
    <t>със заявка</t>
  </si>
  <si>
    <t>0.75%, мин. EUR 3.07</t>
  </si>
  <si>
    <t>ПРЕВОДИ ОТ И ПО СМЕТКА - В СИСТЕМАТА НА ОББ</t>
  </si>
  <si>
    <t xml:space="preserve">Между сметките на един титуляр </t>
  </si>
  <si>
    <t xml:space="preserve">Без такса </t>
  </si>
  <si>
    <t>Изходящи:</t>
  </si>
  <si>
    <t>чрез ОББ Онлайн/ОББ Мобайл</t>
  </si>
  <si>
    <t>EUR 0.25</t>
  </si>
  <si>
    <t>незабавен превод по мобилен номер (BLINK P2P) за суми до или равни на EUR 5 000</t>
  </si>
  <si>
    <t>без такса</t>
  </si>
  <si>
    <t>незабавен превод по мобилен номер (BLINK P2P) за суми над EUR 5 000*</t>
  </si>
  <si>
    <t>в банков клон</t>
  </si>
  <si>
    <t>EUR 2.56</t>
  </si>
  <si>
    <t>Входящи</t>
  </si>
  <si>
    <t>ПРЕВОДИ ОТ И ПО СМЕТКА - МЕЖДУБАНКОВИ</t>
  </si>
  <si>
    <t>Изходящи чрез ОББ Онлайн/ОББ Мобайл:</t>
  </si>
  <si>
    <t xml:space="preserve">стандартен превод към ЕИП (SEPA) </t>
  </si>
  <si>
    <t>EUR 0.50</t>
  </si>
  <si>
    <t>незабавeн превод към ЕИП (SEPA Instant)*</t>
  </si>
  <si>
    <t>експресен превод към ЕИП (TARGET2)</t>
  </si>
  <si>
    <t>EUR 7.67</t>
  </si>
  <si>
    <t>във валута, различна от евро, както и преводи в евро извън ЕИП с вальор на превода същия работен ден</t>
  </si>
  <si>
    <t>0.20% мин. EUR 20.45 макс. EUR 204.52</t>
  </si>
  <si>
    <t>В банков клон</t>
  </si>
  <si>
    <t xml:space="preserve">EUR 3.58 </t>
  </si>
  <si>
    <t xml:space="preserve">експресен превод към ЕИП (TARGET2) </t>
  </si>
  <si>
    <t>EUR 25.56</t>
  </si>
  <si>
    <t>Преводи</t>
  </si>
  <si>
    <t>Регулярни плащания на битови сметки от разплащателна сметка/кредитна карта</t>
  </si>
  <si>
    <t>Месечна такса за обслужване</t>
  </si>
  <si>
    <t>За всяко плащане</t>
  </si>
  <si>
    <t>Плащания на данъчни задължения</t>
  </si>
  <si>
    <t xml:space="preserve">През ОББ Онлайн/ОББ Мобайл (за всеки нареден превод) </t>
  </si>
  <si>
    <t>EUR 0.51</t>
  </si>
  <si>
    <t>Плащане на Електронна винетка (e-Винетка)</t>
  </si>
  <si>
    <t xml:space="preserve">През меню е-Винетка в ОББ Мобайл </t>
  </si>
  <si>
    <t>Плащане на паркиране в зона</t>
  </si>
  <si>
    <t>През меню Платено паркиране в зона в ОББ Мобайл</t>
  </si>
  <si>
    <t>Периодични преводи</t>
  </si>
  <si>
    <t>Регистрация</t>
  </si>
  <si>
    <t>периодични преводи между сметки на един титуляр</t>
  </si>
  <si>
    <t>периодични преводи между сметки на различни титуляри</t>
  </si>
  <si>
    <t>Междубанкови преводи в страната</t>
  </si>
  <si>
    <t>EUR 1.02</t>
  </si>
  <si>
    <t>Вътрешнобанкови преводи</t>
  </si>
  <si>
    <t xml:space="preserve">между сметки на един титуляр </t>
  </si>
  <si>
    <t xml:space="preserve">между сметки на различни титуляри </t>
  </si>
  <si>
    <t>ОББ МОБАЙЛ/ ОББ ОНЛАЙН</t>
  </si>
  <si>
    <t>За регистриране</t>
  </si>
  <si>
    <t>За ползване – месечно</t>
  </si>
  <si>
    <t>Преиздаване на забравена парола за вход през банков клон или Център за обслужване на клиенти по телефона</t>
  </si>
  <si>
    <t>Задаване на нова парола за вход през ОББ Мобайл/ ОББ Онлайн</t>
  </si>
  <si>
    <t>ЕЛЕКТРОННИ ИЗВЕСТИЯ</t>
  </si>
  <si>
    <t>SMS 20 (20 броя известия)</t>
  </si>
  <si>
    <t>EUR 1.53</t>
  </si>
  <si>
    <t>тази такса за 1 месец ли е?</t>
  </si>
  <si>
    <t xml:space="preserve">SMS 40 (40 броя известия) </t>
  </si>
  <si>
    <t>АБОНАМЕНТЕН ПЛАН VIBER*</t>
  </si>
  <si>
    <t>АБОНАМЕНТЕН ПЛАН SMS*</t>
  </si>
  <si>
    <t xml:space="preserve">Viber 20 (20 броя известия) </t>
  </si>
  <si>
    <t xml:space="preserve">Viber 40 (40 броя известия) </t>
  </si>
  <si>
    <t>EUR 2.05</t>
  </si>
  <si>
    <t>E-MAIL*</t>
  </si>
  <si>
    <r>
      <rPr>
        <sz val="11"/>
        <color rgb="FFC00000"/>
        <rFont val="Calibri"/>
        <family val="2"/>
        <charset val="204"/>
        <scheme val="minor"/>
      </rPr>
      <t>Каква е разликата с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 xml:space="preserve">стандартен превод към ЕИП (SEPA) </t>
    </r>
  </si>
  <si>
    <t>EUR 2,55</t>
  </si>
  <si>
    <t>10_000</t>
  </si>
  <si>
    <t>т.е ако иакам да внеса 10000 лв от каса трянва да платя 25 лв</t>
  </si>
  <si>
    <t>т.е ако иакам да изтегля 10000 лв от каса трянва да платя 75 лв</t>
  </si>
  <si>
    <t>Важно</t>
  </si>
  <si>
    <t>Тъй като сключих договор за план Комфорт на който е 12 месеца без такса и 3,5 €/месец след 1 година. Трябва след 12 месеца да сменя плана си от Комфорт на обикновен</t>
  </si>
  <si>
    <t>€</t>
  </si>
  <si>
    <t>Начална дата: 18,01,2026г</t>
  </si>
  <si>
    <t>Край на договора: Неопредел срок</t>
  </si>
  <si>
    <t>BIC: UBBSBGSF</t>
  </si>
  <si>
    <t>IBAN: BG83 UBBS 8002 1472 3441 10</t>
  </si>
  <si>
    <t>Съдържание:</t>
  </si>
  <si>
    <t>1. Договор за Онлайн банкиране</t>
  </si>
  <si>
    <t>2. Договор за пакет „Комфорт” за физически лица</t>
  </si>
  <si>
    <t>3. Регистрационна карта за онлайн банкиране за физически лица</t>
  </si>
  <si>
    <t>4. Договор за откриване на сметка на клиент</t>
  </si>
  <si>
    <t>5. Удостоверение за банкова сметка – дава се на работодател</t>
  </si>
  <si>
    <t>6. Застрахователен сертификат към договор за застраховка....</t>
  </si>
  <si>
    <t>Банката се задължава да издаде необходимите потребителски имена, пароли</t>
  </si>
  <si>
    <t>Кой от тези два номера ми е важен</t>
  </si>
  <si>
    <t>Кое е потребителското ми име за онлайн банкирането</t>
  </si>
  <si>
    <t>Паролатя е ясна - начертаване на фигурата</t>
  </si>
  <si>
    <t>Sad</t>
  </si>
  <si>
    <t>Run</t>
  </si>
  <si>
    <t>Stressed</t>
  </si>
  <si>
    <t>Meditate</t>
  </si>
  <si>
    <t>Angry</t>
  </si>
  <si>
    <t>Workout</t>
  </si>
  <si>
    <t>Overthinking</t>
  </si>
  <si>
    <t>Walk</t>
  </si>
  <si>
    <t>Bored</t>
  </si>
  <si>
    <t>Socialize</t>
  </si>
  <si>
    <t>Lost</t>
  </si>
  <si>
    <t>Read</t>
  </si>
  <si>
    <t>Anxious</t>
  </si>
  <si>
    <t>Breathe</t>
  </si>
  <si>
    <t>Unmotivated</t>
  </si>
  <si>
    <t>Rest Properly</t>
  </si>
  <si>
    <t>Confused</t>
  </si>
  <si>
    <t>Write it down</t>
  </si>
  <si>
    <t>Lonely</t>
  </si>
  <si>
    <t>Reach out</t>
  </si>
  <si>
    <t>Alive</t>
  </si>
  <si>
    <t>Keep moving forward</t>
  </si>
  <si>
    <t>Feelings</t>
  </si>
  <si>
    <t>If you feel:</t>
  </si>
  <si>
    <t>Do this instead:</t>
  </si>
  <si>
    <t>Всеки ден да повиша дори и малко смелостта си</t>
  </si>
  <si>
    <t xml:space="preserve">Всеки ден да повиша дори и малко силата си </t>
  </si>
  <si>
    <t>Всеки ден да повиша дори и малко теглото си</t>
  </si>
  <si>
    <t>Всеки ден да повиша дори и малко щастието си</t>
  </si>
  <si>
    <t xml:space="preserve">Всеки ден да повиша дори и малко знанията си </t>
  </si>
  <si>
    <t>Действия</t>
  </si>
  <si>
    <t>Като ходя 2-пъти в седмицата на бокс</t>
  </si>
  <si>
    <t>Като уча всеки ден</t>
  </si>
  <si>
    <t>Като си направя план за хранене и го спазвам</t>
  </si>
  <si>
    <t>Като съм благодарен за това което имам</t>
  </si>
  <si>
    <t>Цели личностни</t>
  </si>
  <si>
    <t>Цели материални</t>
  </si>
  <si>
    <t>Да купя къща</t>
  </si>
  <si>
    <t>Страхове</t>
  </si>
  <si>
    <t>Че ще ми увеличат наема</t>
  </si>
  <si>
    <t>Че няма да създам смейство и ще си остана сам</t>
  </si>
  <si>
    <t>Че няма да направя нищо смилено в живота си с което да се гордея</t>
  </si>
  <si>
    <t>„Не съм достатъчен“</t>
  </si>
  <si>
    <t>„Ще се проваля“</t>
  </si>
  <si>
    <t>тревожност / страх</t>
  </si>
  <si>
    <t>отлагане</t>
  </si>
  <si>
    <t>затвърждаване на убеждението</t>
  </si>
  <si>
    <t>Кое влияе на чувствата ми</t>
  </si>
  <si>
    <t>подсъзнанието има по-силното влияние</t>
  </si>
  <si>
    <t>мислите имат по-непосредственото (моментно) влияние върху чувствата.</t>
  </si>
  <si>
    <t>Какво реално усещаш като чувство?</t>
  </si>
  <si>
    <r>
      <t xml:space="preserve">Чувството почти винаги е: </t>
    </r>
    <r>
      <rPr>
        <b/>
        <sz val="11"/>
        <color theme="1"/>
        <rFont val="Calibri"/>
        <family val="2"/>
        <scheme val="minor"/>
      </rPr>
      <t>подсъзнание</t>
    </r>
    <r>
      <rPr>
        <sz val="11"/>
        <color theme="1"/>
        <rFont val="Calibri"/>
        <family val="2"/>
        <scheme val="minor"/>
      </rPr>
      <t xml:space="preserve"> * </t>
    </r>
    <r>
      <rPr>
        <b/>
        <sz val="11"/>
        <color theme="1"/>
        <rFont val="Calibri"/>
        <family val="2"/>
        <scheme val="minor"/>
      </rPr>
      <t>мисъл</t>
    </r>
  </si>
  <si>
    <t>Слабо подсъзнателно убеждение + силна негативна мисъл = осезаемо чувство</t>
  </si>
  <si>
    <t>Силно негативно подсъзнание + лека мисъл = пак силно чувство</t>
  </si>
  <si>
    <t>Затова понякога:</t>
  </si>
  <si>
    <t>една „дребна“ мисъл удря много силно</t>
  </si>
  <si>
    <t>друг път не те засяга почти изобщо</t>
  </si>
  <si>
    <t>Кой има по-голямо влияние?</t>
  </si>
  <si>
    <t>1. В момента</t>
  </si>
  <si>
    <t>Мислите</t>
  </si>
  <si>
    <t>Те са директният спусък на чувството.</t>
  </si>
  <si>
    <t>2. В дългосрочен план</t>
  </si>
  <si>
    <t>То решава какви мисли ще ти идват най-често и колко „лепкави“ ще са.</t>
  </si>
  <si>
    <t>Практично заключение (много важно)</t>
  </si>
  <si>
    <t>Ако искаш бързо облекчение → работиш с мислите</t>
  </si>
  <si>
    <t>Ако искаш траен ефект → работиш с подсъзнанието</t>
  </si>
  <si>
    <t>Най-силният ефект идва, когато двете работят заедно</t>
  </si>
  <si>
    <r>
      <rPr>
        <b/>
        <sz val="11"/>
        <color theme="1"/>
        <rFont val="Calibri"/>
        <family val="2"/>
        <scheme val="minor"/>
      </rPr>
      <t>Вибрацията</t>
    </r>
    <r>
      <rPr>
        <sz val="11"/>
        <color theme="1"/>
        <rFont val="Calibri"/>
        <family val="2"/>
        <scheme val="minor"/>
      </rPr>
      <t xml:space="preserve"> сумата от </t>
    </r>
    <r>
      <rPr>
        <b/>
        <sz val="11"/>
        <color theme="1"/>
        <rFont val="Calibri"/>
        <family val="2"/>
        <scheme val="minor"/>
      </rPr>
      <t>чувства + мисли</t>
    </r>
    <r>
      <rPr>
        <sz val="11"/>
        <color theme="1"/>
        <rFont val="Calibri"/>
        <family val="2"/>
        <scheme val="minor"/>
      </rPr>
      <t>, които идват от подсъзнанието</t>
    </r>
  </si>
  <si>
    <t>хранене</t>
  </si>
  <si>
    <t>тренировка</t>
  </si>
  <si>
    <t>учене</t>
  </si>
  <si>
    <t>Къща</t>
  </si>
  <si>
    <t>Смелост, Сила , Знание</t>
  </si>
  <si>
    <t>Тегло, щастие</t>
  </si>
  <si>
    <t>Примерен поток</t>
  </si>
  <si>
    <t>Подсъзнанието е източник. Чувствата са езикът, на който то ти говори</t>
  </si>
  <si>
    <r>
      <t xml:space="preserve">Идеята на </t>
    </r>
    <r>
      <rPr>
        <b/>
        <sz val="11"/>
        <color theme="1"/>
        <rFont val="Calibri"/>
        <family val="2"/>
        <charset val="204"/>
        <scheme val="minor"/>
      </rPr>
      <t>Медитацията</t>
    </r>
    <r>
      <rPr>
        <sz val="11"/>
        <color theme="1"/>
        <rFont val="Calibri"/>
        <family val="2"/>
        <scheme val="minor"/>
      </rPr>
      <t xml:space="preserve"> е да изпиташ чувство от постигането на твоя цел и подсъзнанието да запише това чувство</t>
    </r>
  </si>
  <si>
    <t>Налични</t>
  </si>
  <si>
    <t>1 имот</t>
  </si>
  <si>
    <t>Плащаш по 20%(60 000) за 5 имота</t>
  </si>
  <si>
    <t>|</t>
  </si>
  <si>
    <t>имаш 1 имот</t>
  </si>
  <si>
    <t>5 наематели покриват 5-те ипотеки</t>
  </si>
  <si>
    <t>контролираме 5 имота на стойност 1,5 мил, и това не ни струва нищо</t>
  </si>
  <si>
    <t>едно жилище поскъпва с 10%, ти получаваш 30 000. За 5-те жилища получаваш 150 000</t>
  </si>
  <si>
    <t>Поскъпват наемите и вместо за 20 години, изплащаш жилижата за 15</t>
  </si>
  <si>
    <t>След 15 години имаш 5 жилища и може да се пенсионараш</t>
  </si>
  <si>
    <t>Това е разликата между cach и levarage</t>
  </si>
  <si>
    <t>Вариант 1</t>
  </si>
  <si>
    <t>Вариант 2</t>
  </si>
  <si>
    <t>Копуване на имоти</t>
  </si>
  <si>
    <r>
      <t xml:space="preserve">Това не е обвинение. Това е </t>
    </r>
    <r>
      <rPr>
        <b/>
        <sz val="11"/>
        <color theme="1"/>
        <rFont val="Calibri"/>
        <family val="2"/>
        <charset val="204"/>
        <scheme val="minor"/>
      </rPr>
      <t>стандарт</t>
    </r>
    <r>
      <rPr>
        <sz val="11"/>
        <color theme="1"/>
        <rFont val="Calibri"/>
        <family val="2"/>
        <scheme val="minor"/>
      </rPr>
      <t>.</t>
    </r>
  </si>
  <si>
    <t>"Просто приех как се развиха нещата между нас и реших да продължа напред"</t>
  </si>
  <si>
    <t>"Просто видях как се промени отношението към мен и реших да продължа напред"</t>
  </si>
  <si>
    <t>"В един момент усетих, че давам повече енергия, отколкото получавам. Затова реших да се отдръпна."</t>
  </si>
  <si>
    <t>"Мисля, че всеки от нас тръгна по своя път. Аз просто се опитвам да живея по-спокойно"</t>
  </si>
  <si>
    <t>тя контролира дистанцията</t>
  </si>
  <si>
    <t>ти инвестираш повече</t>
  </si>
  <si>
    <t>ти чакаш време от нея</t>
  </si>
  <si>
    <t>тя се появява, когато ѝ е удобно</t>
  </si>
  <si>
    <t>Възможни отговори на "Променил си се"</t>
  </si>
  <si>
    <t>„Ти ме игнорираше…“</t>
  </si>
  <si>
    <t>„Аз се борих 10 години…</t>
  </si>
  <si>
    <t>„Ти не ме оценяваше…“</t>
  </si>
  <si>
    <t>Ключът е да не го обясняваш като обвинение към нея, а като естествена промяна в теб.</t>
  </si>
  <si>
    <t>Тези неща може да са верни, но ги превръщат в спор</t>
  </si>
  <si>
    <t>Ти не я наказваш.</t>
  </si>
  <si>
    <t>Ти не играеш игра</t>
  </si>
  <si>
    <t>Ти просто вече не инвестираш там, където няма взаимност</t>
  </si>
  <si>
    <t>Ако приемеш същата динамика („близки, но не сериозно“), моделът автоматично ще се върне:</t>
  </si>
  <si>
    <t>Ако някога разговорът стигне до връщане на отношенията, можеш спокойно да кажеш нещо такова:</t>
  </si>
  <si>
    <t>„Не мисля, че това би било добро за мен. Ако съм с някого, искам връзката да е ясна и взаимна.“</t>
  </si>
  <si>
    <t>Нейното отношение:</t>
  </si>
  <si>
    <t>картички за празници</t>
  </si>
  <si>
    <t>обаждане</t>
  </si>
  <si>
    <t>въпроси за живота ти</t>
  </si>
  <si>
    <t>снимки от пътуване</t>
  </si>
  <si>
    <t>закачка „не пита къде е“</t>
  </si>
  <si>
    <r>
      <t xml:space="preserve">Това са </t>
    </r>
    <r>
      <rPr>
        <b/>
        <sz val="11"/>
        <color theme="1"/>
        <rFont val="Calibri"/>
        <family val="2"/>
        <charset val="204"/>
        <scheme val="minor"/>
      </rPr>
      <t>контактни сонди</t>
    </r>
    <r>
      <rPr>
        <sz val="11"/>
        <color theme="1"/>
        <rFont val="Calibri"/>
        <family val="2"/>
        <scheme val="minor"/>
      </rPr>
      <t>. Не са покана за връзка.</t>
    </r>
  </si>
  <si>
    <t>Тя проверява:</t>
  </si>
  <si>
    <t>дали още си там</t>
  </si>
  <si>
    <t>дали още реагираш</t>
  </si>
  <si>
    <t>дали още има влияние върху теб</t>
  </si>
  <si>
    <t>Жените уважават много повече мъж, който може да се отдръпне, отколкото мъж, който остава на разположение без край</t>
  </si>
  <si>
    <t>дали още има интерес от твоя страна</t>
  </si>
  <si>
    <t>дали още може да предизвика емоция</t>
  </si>
  <si>
    <t>дали връзката между вас не е напълно изчезнала</t>
  </si>
  <si>
    <r>
      <t xml:space="preserve">Но това </t>
    </r>
    <r>
      <rPr>
        <b/>
        <sz val="11"/>
        <color theme="1"/>
        <rFont val="Calibri"/>
        <family val="2"/>
        <charset val="204"/>
        <scheme val="minor"/>
      </rPr>
      <t>не означава непременно</t>
    </r>
    <r>
      <rPr>
        <sz val="11"/>
        <color theme="1"/>
        <rFont val="Calibri"/>
        <family val="2"/>
        <scheme val="minor"/>
      </rPr>
      <t>, че тя иска да се върне във връзката</t>
    </r>
  </si>
  <si>
    <t>Поведението и:</t>
  </si>
  <si>
    <t>изпраща снимка → но не пита нищо за теб</t>
  </si>
  <si>
    <t>започва разговор → но бърза да го приключи</t>
  </si>
  <si>
    <t>появява се → после пак изчезва</t>
  </si>
  <si>
    <r>
      <t xml:space="preserve">Този модел по-скоро прилича на </t>
    </r>
    <r>
      <rPr>
        <b/>
        <sz val="11"/>
        <color theme="1"/>
        <rFont val="Calibri"/>
        <family val="2"/>
        <charset val="204"/>
        <scheme val="minor"/>
      </rPr>
      <t>поддържане на контакт</t>
    </r>
    <r>
      <rPr>
        <sz val="11"/>
        <color theme="1"/>
        <rFont val="Calibri"/>
        <family val="2"/>
        <scheme val="minor"/>
      </rPr>
      <t xml:space="preserve">, а </t>
    </r>
    <r>
      <rPr>
        <b/>
        <sz val="11"/>
        <color theme="1"/>
        <rFont val="Calibri"/>
        <family val="2"/>
        <charset val="204"/>
        <scheme val="minor"/>
      </rPr>
      <t>не</t>
    </r>
    <r>
      <rPr>
        <sz val="11"/>
        <color theme="1"/>
        <rFont val="Calibri"/>
        <family val="2"/>
        <scheme val="minor"/>
      </rPr>
      <t xml:space="preserve"> на реално приближаване.</t>
    </r>
  </si>
  <si>
    <t>Не я обвиняваш:</t>
  </si>
  <si>
    <t>Твоето отношение:</t>
  </si>
  <si>
    <t>Ти:</t>
  </si>
  <si>
    <t>отговаряш спокойно</t>
  </si>
  <si>
    <t>не преследваш</t>
  </si>
  <si>
    <t>не се опитваш да впечатляваш</t>
  </si>
  <si>
    <t>не се обясняваш</t>
  </si>
  <si>
    <t>Като правя всеки ден нещо което е трудно, неприятно за мен</t>
  </si>
  <si>
    <t>Кога то дойде времето за действието описано в организацията - да се направи</t>
  </si>
  <si>
    <t>Какво ще е нещото което ще се търси след 5 години?</t>
  </si>
  <si>
    <t>програмисти</t>
  </si>
  <si>
    <t>не</t>
  </si>
  <si>
    <t>електротехници</t>
  </si>
  <si>
    <t>да</t>
  </si>
  <si>
    <t>пто</t>
  </si>
  <si>
    <t>Идея</t>
  </si>
  <si>
    <t>Ел. Услуги на богати клиенти</t>
  </si>
  <si>
    <t>Възможност за изтегляне на добър кредит</t>
  </si>
  <si>
    <t>Как мога да изкарам за 20 човека пари?</t>
  </si>
  <si>
    <t>1. Като взема работа в голям обем като за 20 човека</t>
  </si>
  <si>
    <t>2. Като намеря някой който да плати за тази работа</t>
  </si>
  <si>
    <t>4. Готово</t>
  </si>
  <si>
    <t>"Щом мога да свърша за 20 човека работа =&gt; мога да изкарам за 20 пари"</t>
  </si>
  <si>
    <r>
      <t xml:space="preserve">3. Свършвам работата </t>
    </r>
    <r>
      <rPr>
        <b/>
        <sz val="11"/>
        <color theme="1"/>
        <rFont val="Calibri"/>
        <family val="2"/>
        <charset val="204"/>
        <scheme val="minor"/>
      </rPr>
      <t>сам</t>
    </r>
  </si>
  <si>
    <t>Вереятност 5%</t>
  </si>
  <si>
    <t>Вид работа: IT</t>
  </si>
  <si>
    <t>Хора които я предлагат: 0</t>
  </si>
  <si>
    <t>Вереятност 60%</t>
  </si>
  <si>
    <r>
      <t xml:space="preserve">3. Като намеря </t>
    </r>
    <r>
      <rPr>
        <b/>
        <sz val="11"/>
        <color theme="1"/>
        <rFont val="Calibri"/>
        <family val="2"/>
        <charset val="204"/>
        <scheme val="minor"/>
      </rPr>
      <t>хора</t>
    </r>
    <r>
      <rPr>
        <sz val="11"/>
        <color theme="1"/>
        <rFont val="Calibri"/>
        <family val="2"/>
        <scheme val="minor"/>
      </rPr>
      <t xml:space="preserve"> които да я свършат</t>
    </r>
  </si>
  <si>
    <t>Вид работа: Електро, голям обект</t>
  </si>
  <si>
    <t>Хора които я предлагат: 5-10</t>
  </si>
  <si>
    <t>1. Да намеря голям пазар</t>
  </si>
  <si>
    <t>3. Да намеря клиенти</t>
  </si>
  <si>
    <t>Вариант 3</t>
  </si>
  <si>
    <t xml:space="preserve">2. Да намеря от къде да купувам </t>
  </si>
  <si>
    <t>2. Като намеря някой, който да плати за тази работа</t>
  </si>
  <si>
    <t>Вид работа: Търговия</t>
  </si>
  <si>
    <t>Вереятност 10%</t>
  </si>
  <si>
    <t>Бизнес прозрения</t>
  </si>
  <si>
    <t>Какво им трябва?</t>
  </si>
  <si>
    <t>технически съппорт</t>
  </si>
  <si>
    <t>документално легализиране на надценката</t>
  </si>
  <si>
    <t>бързо доставяне на материалите</t>
  </si>
  <si>
    <t>доставка до обекта - понякога</t>
  </si>
  <si>
    <t>качествени материали</t>
  </si>
  <si>
    <t>оферти</t>
  </si>
  <si>
    <t>редовни поръчки</t>
  </si>
  <si>
    <t>1. Да продаваш на майстори(Тони, Краси, Влади Пешев, Иван Луксера, Владо Кади)</t>
  </si>
  <si>
    <t>прадаваш на -20%, не на -40%</t>
  </si>
  <si>
    <t>Какво ще получиш?</t>
  </si>
  <si>
    <t>2. Да извършваш ел.услуги на частни клиенти</t>
  </si>
  <si>
    <t>качествено свършена работа</t>
  </si>
  <si>
    <t>нормални цени</t>
  </si>
  <si>
    <t>отзоваване в нормален срок</t>
  </si>
  <si>
    <t>гаранция и поеманена на бъдеща повреда</t>
  </si>
  <si>
    <t>спокойствие че ще свършиш работата перфектно</t>
  </si>
  <si>
    <t>бързи и добри пари</t>
  </si>
  <si>
    <t>печалба от труд и материли</t>
  </si>
  <si>
    <t>управление на времето си</t>
  </si>
  <si>
    <t>възможност за увеличаване на клиентите</t>
  </si>
  <si>
    <t>venv in the brain</t>
  </si>
  <si>
    <t>1. Живея в изобилие</t>
  </si>
  <si>
    <t>3. Имам безкрайни възможности</t>
  </si>
  <si>
    <t>4. Живея най-щастливия си живот</t>
  </si>
  <si>
    <t>7. Живея в спокойствие и хармония със себе си</t>
  </si>
  <si>
    <t>8. Живея със самочувствие и гордост от себе си</t>
  </si>
  <si>
    <t xml:space="preserve">9. Живея е силно и здраво тяло </t>
  </si>
  <si>
    <t>12. Живея с любов в сърцето си</t>
  </si>
  <si>
    <t>10. Живея със смел и безстрашен характер</t>
  </si>
  <si>
    <t>11. Живея с солидни бойни умения, които ми дават смелост за всичко, което искам да направя</t>
  </si>
  <si>
    <t>2. Живея в перфектно здраве</t>
  </si>
  <si>
    <t>13. Живея със огромни знания, които хората търсят и искат да платят за тях</t>
  </si>
  <si>
    <t>14. Живея без хора които да ме карат да се чувствам малък</t>
  </si>
  <si>
    <t>15. Живея и знам че проблемите ми са временни</t>
  </si>
  <si>
    <t xml:space="preserve">19. Болката е моя приятелка, която ми помага да постигна целите си </t>
  </si>
  <si>
    <t>20. Тази витруална среда ми е напълно достатъчна за да съм щастлив без външно обстоятелство</t>
  </si>
  <si>
    <t>5. Живея без да се сравнявам, съобразявам и влияя от мнението на другите</t>
  </si>
  <si>
    <t>6. Правя това което ме прави щастлив</t>
  </si>
  <si>
    <t>17. Хобито ми е да подобрявам себе си</t>
  </si>
  <si>
    <t>16. Вълнувам се искрено от постигането на целите си</t>
  </si>
  <si>
    <t>18. Живея без да съжалявам за миналото и без да страхувам от бъдещето</t>
  </si>
  <si>
    <t>Цел 78 кг</t>
  </si>
  <si>
    <t>Основни цели</t>
  </si>
  <si>
    <t>Калории: ~2900–3300 kcal/ден</t>
  </si>
  <si>
    <t>Протеин: 140–160 г</t>
  </si>
  <si>
    <t>Въглехидрати: 350–450 г</t>
  </si>
  <si>
    <t>Мазнини: 70–90 г</t>
  </si>
  <si>
    <t>Вода: 2.5–3.5 л</t>
  </si>
  <si>
    <t>Ден 1</t>
  </si>
  <si>
    <t>100 г овес</t>
  </si>
  <si>
    <t>300 мл прясно мляко</t>
  </si>
  <si>
    <t>1 банан</t>
  </si>
  <si>
    <t>30 г фъстъчено масло</t>
  </si>
  <si>
    <t>3 яйца</t>
  </si>
  <si>
    <t>кисело мляко</t>
  </si>
  <si>
    <t>шепа ядки</t>
  </si>
  <si>
    <t>мед</t>
  </si>
  <si>
    <t>200 г пилешко</t>
  </si>
  <si>
    <t>150 г ориз</t>
  </si>
  <si>
    <t>салата + зехтин</t>
  </si>
  <si>
    <t>Преди тренировка</t>
  </si>
  <si>
    <t>банан</t>
  </si>
  <si>
    <t>2 филии с фъстъчено масло</t>
  </si>
  <si>
    <t>200 г телешко/кайма</t>
  </si>
  <si>
    <t>картофи</t>
  </si>
  <si>
    <t>зеленчуци</t>
  </si>
  <si>
    <t>Тренировка</t>
  </si>
  <si>
    <t>Лицеви опори — 4x15</t>
  </si>
  <si>
    <t>Кофички — 4x8–12</t>
  </si>
  <si>
    <t>Набирания — 4xмакс</t>
  </si>
  <si>
    <t>Австралийски набирания — 3x12</t>
  </si>
  <si>
    <t>Лицеви с тесен хват — 3x12</t>
  </si>
  <si>
    <t>Планк — 3x1 мин</t>
  </si>
  <si>
    <t>След тренировка</t>
  </si>
  <si>
    <t>500 мл мляко</t>
  </si>
  <si>
    <t>Ден 2</t>
  </si>
  <si>
    <t>4 яйца</t>
  </si>
  <si>
    <t>сирене</t>
  </si>
  <si>
    <t>хляб</t>
  </si>
  <si>
    <t>домати</t>
  </si>
  <si>
    <t>200 г свинско/пилешко</t>
  </si>
  <si>
    <t>150 г картофи</t>
  </si>
  <si>
    <t>салата</t>
  </si>
  <si>
    <t>ориз + яйца</t>
  </si>
  <si>
    <t>или</t>
  </si>
  <si>
    <t>протеин + банан</t>
  </si>
  <si>
    <t>паста с кайма</t>
  </si>
  <si>
    <t>Тренировка - Крака</t>
  </si>
  <si>
    <t>Тренировка Гърди + Лостове</t>
  </si>
  <si>
    <t>Клекове — 5x8–10</t>
  </si>
  <si>
    <t>Български клек — 4x10</t>
  </si>
  <si>
    <t>Напади — 3x12</t>
  </si>
  <si>
    <t>Глутеус мост — 4x12</t>
  </si>
  <si>
    <t>Прасци — 4x20</t>
  </si>
  <si>
    <t>Корем — 10 мин</t>
  </si>
  <si>
    <t>Ден 3</t>
  </si>
  <si>
    <t>Хранене</t>
  </si>
  <si>
    <t>Подобно на Ден 1, но увеличи ориза/пастата</t>
  </si>
  <si>
    <t>Гръб + Бицепс</t>
  </si>
  <si>
    <t>Набирания широк хват — 5xмакс</t>
  </si>
  <si>
    <t>Chin-ups — 4xмакс</t>
  </si>
  <si>
    <t>Гребане с дъмбел/ластици — 4x10</t>
  </si>
  <si>
    <t>Австралийски набирания — 4x12</t>
  </si>
  <si>
    <t>Сгъване за бицепс — 4x12</t>
  </si>
  <si>
    <t>Hammer curls — 3x12</t>
  </si>
  <si>
    <t>Повдигане на крака от вис — 4x12</t>
  </si>
  <si>
    <t>Ден 4</t>
  </si>
  <si>
    <t>Почивка + Храна</t>
  </si>
  <si>
    <r>
      <rPr>
        <b/>
        <sz val="11"/>
        <color theme="1"/>
        <rFont val="Calibri"/>
        <family val="2"/>
        <charset val="204"/>
        <scheme val="minor"/>
      </rPr>
      <t>Фокус</t>
    </r>
    <r>
      <rPr>
        <sz val="11"/>
        <color theme="1"/>
        <rFont val="Calibri"/>
        <family val="2"/>
        <scheme val="minor"/>
      </rPr>
      <t>: повече калории, възстановяване</t>
    </r>
  </si>
  <si>
    <t>Яж:</t>
  </si>
  <si>
    <t>ориз</t>
  </si>
  <si>
    <t>паста</t>
  </si>
  <si>
    <t>месо</t>
  </si>
  <si>
    <t>ядки</t>
  </si>
  <si>
    <t>плодове</t>
  </si>
  <si>
    <t>Ден 5</t>
  </si>
  <si>
    <t>Рамо + Експлозивност</t>
  </si>
  <si>
    <t>Pike push-ups — 4x10</t>
  </si>
  <si>
    <t>Раменни преси — 4x10</t>
  </si>
  <si>
    <t>Странично вдигане — 4x15</t>
  </si>
  <si>
    <t>Explosive push-ups — 4x8</t>
  </si>
  <si>
    <t>Burpees — 3x15</t>
  </si>
  <si>
    <t>Повече въглехидрати:</t>
  </si>
  <si>
    <t>овес</t>
  </si>
  <si>
    <t>банани</t>
  </si>
  <si>
    <t>Ден 6</t>
  </si>
  <si>
    <t>Бокс (1.5 часа)</t>
  </si>
  <si>
    <t>Това е сериозно кардио, така че:</t>
  </si>
  <si>
    <t>не режи храната;</t>
  </si>
  <si>
    <t>яж повече въглехидрати</t>
  </si>
  <si>
    <t>Преди бокс</t>
  </si>
  <si>
    <t>овес + банан</t>
  </si>
  <si>
    <t>кафе (по желание)</t>
  </si>
  <si>
    <t>След бокс</t>
  </si>
  <si>
    <t>ориз + месо</t>
  </si>
  <si>
    <t>шейк + банан + сандвич</t>
  </si>
  <si>
    <t>Допълнително</t>
  </si>
  <si>
    <t>Лека тренировка:</t>
  </si>
  <si>
    <t>набирания 3 серии</t>
  </si>
  <si>
    <t>кофички 3 серии</t>
  </si>
  <si>
    <t>стречинг</t>
  </si>
  <si>
    <t>Ден 7</t>
  </si>
  <si>
    <t>Цяло тяло</t>
  </si>
  <si>
    <t>Кофички — 4xмакс</t>
  </si>
  <si>
    <t>Клекове — 4x15</t>
  </si>
  <si>
    <t>Лицеви — 4x20</t>
  </si>
  <si>
    <t>Планк — 3 серии</t>
  </si>
  <si>
    <t>“Cheat meal” е ок:</t>
  </si>
  <si>
    <t>бургер</t>
  </si>
  <si>
    <t>пица</t>
  </si>
  <si>
    <t>Но дръж протеина висок</t>
  </si>
  <si>
    <t>Най-важните храни за качване</t>
  </si>
  <si>
    <t>Евтини и ефективни</t>
  </si>
  <si>
    <t>пилешко</t>
  </si>
  <si>
    <t>кайма</t>
  </si>
  <si>
    <t>фъстъчено масло</t>
  </si>
  <si>
    <t>Как да разбереш дали работи</t>
  </si>
  <si>
    <t>Следи:</t>
  </si>
  <si>
    <t>тегло сутрин;</t>
  </si>
  <si>
    <t>снимки;</t>
  </si>
  <si>
    <t>сила.</t>
  </si>
  <si>
    <t>Ако:</t>
  </si>
  <si>
    <t>качваш сила;</t>
  </si>
  <si>
    <t>качваш 1–2 кг месечно;</t>
  </si>
  <si>
    <t>значи си в правилната посока.</t>
  </si>
  <si>
    <t>Важни цели за първите 6 месеца</t>
  </si>
  <si>
    <t>Опитай да стигнеш:</t>
  </si>
  <si>
    <t>12–15 набирания;</t>
  </si>
  <si>
    <t>20+ кофички;</t>
  </si>
  <si>
    <t>100+ клекове;</t>
  </si>
  <si>
    <t>Иванка</t>
  </si>
  <si>
    <t>Васил</t>
  </si>
  <si>
    <t>Асен</t>
  </si>
  <si>
    <t>Марийка</t>
  </si>
  <si>
    <t>Сандо</t>
  </si>
  <si>
    <t>Сергия</t>
  </si>
  <si>
    <t>Сашо</t>
  </si>
  <si>
    <t>Росица</t>
  </si>
  <si>
    <t>Надка</t>
  </si>
  <si>
    <t>Родата на баща ми</t>
  </si>
  <si>
    <t>Родата на майка ми</t>
  </si>
  <si>
    <t>Янко</t>
  </si>
  <si>
    <t>Живка</t>
  </si>
  <si>
    <t>Богомил</t>
  </si>
  <si>
    <t>Яне</t>
  </si>
  <si>
    <t>Станка</t>
  </si>
  <si>
    <t>Верка</t>
  </si>
  <si>
    <t>Баба Живка</t>
  </si>
  <si>
    <t>Погребана на:</t>
  </si>
  <si>
    <t>Родена на:</t>
  </si>
  <si>
    <t>Почина на 79:</t>
  </si>
  <si>
    <t>Минали са дни:</t>
  </si>
  <si>
    <t>Минали са години:</t>
  </si>
  <si>
    <t>Тук използваме DATEDIF() funcrion</t>
  </si>
  <si>
    <t>Syntax</t>
  </si>
  <si>
    <t>DATEDIF(first_date, second_date, type_returned_diff)</t>
  </si>
  <si>
    <t>Y - year</t>
  </si>
  <si>
    <t>type_returned_diff</t>
  </si>
  <si>
    <t>YM - months</t>
  </si>
  <si>
    <t>MD - days</t>
  </si>
  <si>
    <t>Функцията изчислява години, месеци и дни като разлика между две дати</t>
  </si>
  <si>
    <t>Как аз да се запозная с повече хора като Стефан Янков</t>
  </si>
  <si>
    <t>Кога не съм сериозен?</t>
  </si>
  <si>
    <t>Защо днес изпих 2 кафета?</t>
  </si>
  <si>
    <t>Защото вчера довърших таблото и го използвах като награда</t>
  </si>
  <si>
    <t>изкуствен интелект, за идеи за готвене, пресмятане на калории</t>
  </si>
  <si>
    <t>събиране на информация за хранене и трениране</t>
  </si>
  <si>
    <t>дисциплина за готвене</t>
  </si>
  <si>
    <t>дисциплина за хранене</t>
  </si>
  <si>
    <t>спокойствието на водата</t>
  </si>
  <si>
    <t>емоциите</t>
  </si>
  <si>
    <t>Ако водата е спокойна - значи си в равновесие</t>
  </si>
  <si>
    <t>ръцете, които държат съда</t>
  </si>
  <si>
    <t>мислите</t>
  </si>
  <si>
    <t>Ако мислите ти са положителни - емоциите са спокойни</t>
  </si>
  <si>
    <t>цвета на стъклото на съда</t>
  </si>
  <si>
    <t>подсъзнание и вярвания</t>
  </si>
  <si>
    <r>
      <t xml:space="preserve">Ако вярванията ти са положителни - цвета е хубав и съда изглежда добре. </t>
    </r>
    <r>
      <rPr>
        <sz val="11"/>
        <color rgb="FFC00000"/>
        <rFont val="Calibri"/>
        <family val="2"/>
        <charset val="204"/>
        <scheme val="minor"/>
      </rPr>
      <t>Това влияе на действията ти</t>
    </r>
  </si>
  <si>
    <t>дебелината/здравината на съда</t>
  </si>
  <si>
    <t>сила на духа и характер</t>
  </si>
  <si>
    <t>Ако си силен физически и ментално дебелината на съда е здрава</t>
  </si>
  <si>
    <t>красиви цветове и форми на съда</t>
  </si>
  <si>
    <t>действия и навици</t>
  </si>
  <si>
    <r>
      <t xml:space="preserve">Ако действията ти са добри, стените на съда се оцветяват в красиви цветове - </t>
    </r>
    <r>
      <rPr>
        <sz val="11"/>
        <color rgb="FFC00000"/>
        <rFont val="Calibri"/>
        <family val="2"/>
        <charset val="204"/>
        <scheme val="minor"/>
      </rPr>
      <t>това е реалнията ти живот</t>
    </r>
  </si>
  <si>
    <t>формата на съда</t>
  </si>
  <si>
    <t>тялото</t>
  </si>
  <si>
    <t>Ако тренираш, съда ще има красива форма</t>
  </si>
  <si>
    <t>Бистротата на водата</t>
  </si>
  <si>
    <t>щастие и вътрешна чистота</t>
  </si>
  <si>
    <t>Ако си щастлив, водата ще бъде чиста, бистра</t>
  </si>
  <si>
    <t>Количеството на водата</t>
  </si>
  <si>
    <t>Жизнената енергия</t>
  </si>
  <si>
    <t>Ако имаш енергия, мотиовация, сили за действие - водата е много</t>
  </si>
  <si>
    <t>Големината на съда</t>
  </si>
  <si>
    <t>Съзнанието / нивото на осъзнатост</t>
  </si>
  <si>
    <t>Колкото по-широко е съзнанието ти, толкова повече от живота можеш да побереш и разбереш.</t>
  </si>
  <si>
    <t>Човешки живот - съд с вода</t>
  </si>
  <si>
    <t>Ти</t>
  </si>
  <si>
    <t>Ти си осъзнатостта която наблюдава съда, не си чувствата, не си мислите</t>
  </si>
  <si>
    <t>осъзнатост</t>
  </si>
  <si>
    <t>As a man thinketh by James Alien</t>
  </si>
  <si>
    <t>Мислиш, ствараш</t>
  </si>
  <si>
    <t>Мисли и действай всеки ден</t>
  </si>
  <si>
    <t>Мисълта е искра</t>
  </si>
  <si>
    <t>Действието е горивото</t>
  </si>
  <si>
    <t>Навика е двигателя</t>
  </si>
  <si>
    <t>Съдбата е дестинацията</t>
  </si>
  <si>
    <t>Аз съм създателя на моя живот</t>
  </si>
  <si>
    <t>Мислите ти са семената</t>
  </si>
  <si>
    <t>Обстоятелствата са реколтата</t>
  </si>
  <si>
    <t>Мислите оформят характера(сумата от повторените ти мисли)</t>
  </si>
  <si>
    <t>Мислите ти създават обстоятелствата</t>
  </si>
  <si>
    <t>Целта направлява мислите. Всяка сутрин си задай въпроса "каква е целта ми за днес"</t>
  </si>
  <si>
    <t>Самоконтрола изгражда сила и това се случва когато човек започне да контролира мислите си.</t>
  </si>
  <si>
    <t>Спокойствието е най-висша форма на майсторство</t>
  </si>
  <si>
    <t>Следи мислите си</t>
  </si>
  <si>
    <t>Избери идеалите си и приравни мислите си спрямо тях</t>
  </si>
  <si>
    <t>Визуализирай с цел</t>
  </si>
  <si>
    <t>не реагирай, а отговаряй</t>
  </si>
  <si>
    <t xml:space="preserve">Семената са ръцети те, почвата е в ума ти, реколтата е твоето бъдеще </t>
  </si>
  <si>
    <t>Какъв живот създавам с мислите които имам днес?</t>
  </si>
  <si>
    <t>Atomic habits</t>
  </si>
  <si>
    <t>Методий</t>
  </si>
  <si>
    <t>Понеделник</t>
  </si>
  <si>
    <t>Вторник</t>
  </si>
  <si>
    <t>Сряда</t>
  </si>
  <si>
    <t>Четвъртък</t>
  </si>
  <si>
    <t>Петък</t>
  </si>
  <si>
    <t>Събота</t>
  </si>
  <si>
    <t>Неделя</t>
  </si>
  <si>
    <t>лостове</t>
  </si>
  <si>
    <t>бокс</t>
  </si>
  <si>
    <t>книга</t>
  </si>
  <si>
    <t>под.готв</t>
  </si>
  <si>
    <t>без алкохол</t>
  </si>
  <si>
    <t>1 кафе</t>
  </si>
  <si>
    <t>без порно</t>
  </si>
  <si>
    <t>без маст</t>
  </si>
  <si>
    <t>Вечеря:</t>
  </si>
  <si>
    <t>Следобедна:</t>
  </si>
  <si>
    <t>Пазар:</t>
  </si>
  <si>
    <t>да не пия</t>
  </si>
  <si>
    <t>да не пия 2-ро, 3-то кафе</t>
  </si>
  <si>
    <t>да не пропускам тренировка по бокс</t>
  </si>
  <si>
    <t xml:space="preserve">да не </t>
  </si>
  <si>
    <t>2 сливи</t>
  </si>
  <si>
    <t>Пазар: картофи</t>
  </si>
  <si>
    <t>Готв: картофена салата</t>
  </si>
  <si>
    <t>Книга: 20 мин</t>
  </si>
  <si>
    <t>Обяд: сарми</t>
  </si>
  <si>
    <t>Как да стана 2-пъти по ценен</t>
  </si>
  <si>
    <t>Кафе</t>
  </si>
  <si>
    <t>таратор</t>
  </si>
  <si>
    <t>Готвене:</t>
  </si>
  <si>
    <t>1 сливи</t>
  </si>
  <si>
    <t>организация за пазар</t>
  </si>
  <si>
    <t>авокадо</t>
  </si>
  <si>
    <t>набирания</t>
  </si>
  <si>
    <t>планк</t>
  </si>
  <si>
    <t>1 пържола</t>
  </si>
  <si>
    <t>1 картоф</t>
  </si>
  <si>
    <t>Книга: 10 мин</t>
  </si>
  <si>
    <t>Мартин</t>
  </si>
  <si>
    <t>Никилай</t>
  </si>
  <si>
    <t>Мите</t>
  </si>
  <si>
    <t>Пепи</t>
  </si>
  <si>
    <t>Слави</t>
  </si>
  <si>
    <t>Иван</t>
  </si>
  <si>
    <t>Тодор</t>
  </si>
  <si>
    <t>Коки</t>
  </si>
  <si>
    <t>Веско</t>
  </si>
  <si>
    <t>Влади</t>
  </si>
  <si>
    <t>Вальо</t>
  </si>
  <si>
    <t>Жаорката</t>
  </si>
  <si>
    <t>Жоро</t>
  </si>
  <si>
    <t>Ради</t>
  </si>
  <si>
    <t>Мишо</t>
  </si>
  <si>
    <t>Павел</t>
  </si>
  <si>
    <t>Димо</t>
  </si>
  <si>
    <t>Юли</t>
  </si>
  <si>
    <t>Свилен</t>
  </si>
  <si>
    <t>Ники</t>
  </si>
  <si>
    <t>Котов</t>
  </si>
  <si>
    <t>Лсико</t>
  </si>
  <si>
    <t>Ванката</t>
  </si>
  <si>
    <t>Митко</t>
  </si>
  <si>
    <t>Чаво</t>
  </si>
  <si>
    <t>Станислав</t>
  </si>
  <si>
    <t>Стефан</t>
  </si>
  <si>
    <t>Орлин</t>
  </si>
  <si>
    <t>Краси</t>
  </si>
  <si>
    <t>Евгени</t>
  </si>
  <si>
    <t>Росен</t>
  </si>
  <si>
    <t>ПешО</t>
  </si>
  <si>
    <t>Найден</t>
  </si>
  <si>
    <t>Илиян</t>
  </si>
  <si>
    <t>Тошко</t>
  </si>
  <si>
    <t>Кире</t>
  </si>
  <si>
    <t>Шарано</t>
  </si>
  <si>
    <t>Рускио</t>
  </si>
  <si>
    <t>Боце</t>
  </si>
  <si>
    <t>Васко</t>
  </si>
  <si>
    <t>Иво</t>
  </si>
  <si>
    <t>Милети</t>
  </si>
  <si>
    <t>Кацката</t>
  </si>
  <si>
    <t>Адриан</t>
  </si>
  <si>
    <t>Сике</t>
  </si>
  <si>
    <t>Светли</t>
  </si>
  <si>
    <t>Емо</t>
  </si>
  <si>
    <t>Владо</t>
  </si>
  <si>
    <t>Айвазов</t>
  </si>
  <si>
    <t>Адашо</t>
  </si>
  <si>
    <t>Янков</t>
  </si>
  <si>
    <t>Ников</t>
  </si>
  <si>
    <t>Лостове</t>
  </si>
  <si>
    <t>Добра вечеря</t>
  </si>
  <si>
    <t>Аз</t>
  </si>
  <si>
    <t>Комуникативни умения</t>
  </si>
  <si>
    <t>Връзки</t>
  </si>
  <si>
    <t>Клиенти</t>
  </si>
  <si>
    <t>Васко и Иво</t>
  </si>
  <si>
    <t>Жоро и Марко</t>
  </si>
  <si>
    <t>Колеги</t>
  </si>
  <si>
    <t>Агенти</t>
  </si>
  <si>
    <t>Предприемачи</t>
  </si>
  <si>
    <t>Магазина</t>
  </si>
  <si>
    <t>Facebook</t>
  </si>
  <si>
    <t>Реклама</t>
  </si>
  <si>
    <t>Живяла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</si>
</sst>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D7DFF"/>
      <name val="Calibri"/>
      <family val="2"/>
      <scheme val="minor"/>
    </font>
    <font>
      <sz val="11"/>
      <color rgb="FF7D7DFF"/>
      <name val="Calibri"/>
      <family val="2"/>
      <charset val="204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0" quotePrefix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1" fillId="0" borderId="0" xfId="0" applyFont="1"/>
    <xf numFmtId="0" fontId="0" fillId="0" borderId="0" xfId="0" applyBorder="1" applyAlignment="1">
      <alignment horizontal="center"/>
    </xf>
    <xf numFmtId="0" fontId="0" fillId="0" borderId="0" xfId="0" applyFont="1"/>
    <xf numFmtId="0" fontId="21" fillId="0" borderId="2" xfId="0" applyFont="1" applyBorder="1"/>
    <xf numFmtId="0" fontId="22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/>
    <xf numFmtId="0" fontId="0" fillId="0" borderId="0" xfId="0" applyBorder="1" applyAlignment="1">
      <alignment horizontal="left"/>
    </xf>
    <xf numFmtId="0" fontId="23" fillId="0" borderId="0" xfId="0" applyFont="1"/>
    <xf numFmtId="0" fontId="18" fillId="0" borderId="0" xfId="0" applyFont="1"/>
    <xf numFmtId="0" fontId="0" fillId="0" borderId="9" xfId="0" applyBorder="1"/>
    <xf numFmtId="0" fontId="25" fillId="0" borderId="0" xfId="0" applyFont="1"/>
    <xf numFmtId="0" fontId="21" fillId="0" borderId="9" xfId="0" applyFont="1" applyBorder="1"/>
    <xf numFmtId="0" fontId="26" fillId="0" borderId="0" xfId="0" applyFont="1"/>
    <xf numFmtId="0" fontId="0" fillId="2" borderId="0" xfId="0" applyFill="1"/>
    <xf numFmtId="0" fontId="27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22" fillId="0" borderId="10" xfId="0" applyFont="1" applyBorder="1"/>
    <xf numFmtId="0" fontId="0" fillId="0" borderId="11" xfId="0" applyBorder="1"/>
    <xf numFmtId="0" fontId="0" fillId="0" borderId="12" xfId="0" applyBorder="1"/>
    <xf numFmtId="0" fontId="14" fillId="0" borderId="11" xfId="0" applyFont="1" applyBorder="1"/>
    <xf numFmtId="0" fontId="14" fillId="0" borderId="10" xfId="0" applyFont="1" applyBorder="1"/>
    <xf numFmtId="0" fontId="14" fillId="0" borderId="12" xfId="0" applyFont="1" applyBorder="1"/>
    <xf numFmtId="0" fontId="0" fillId="0" borderId="10" xfId="0" applyBorder="1"/>
    <xf numFmtId="0" fontId="22" fillId="0" borderId="12" xfId="0" applyFont="1" applyBorder="1"/>
    <xf numFmtId="0" fontId="28" fillId="0" borderId="0" xfId="0" applyFont="1"/>
    <xf numFmtId="0" fontId="22" fillId="0" borderId="2" xfId="0" applyFont="1" applyBorder="1"/>
    <xf numFmtId="0" fontId="22" fillId="0" borderId="4" xfId="0" applyFont="1" applyBorder="1"/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9" xfId="0" applyFill="1" applyBorder="1" applyAlignment="1">
      <alignment horizontal="center"/>
    </xf>
    <xf numFmtId="0" fontId="22" fillId="0" borderId="1" xfId="0" applyFont="1" applyBorder="1"/>
    <xf numFmtId="0" fontId="22" fillId="0" borderId="9" xfId="0" applyFont="1" applyBorder="1"/>
    <xf numFmtId="0" fontId="0" fillId="0" borderId="9" xfId="0" applyBorder="1" applyAlignment="1">
      <alignment wrapText="1"/>
    </xf>
    <xf numFmtId="0" fontId="22" fillId="0" borderId="11" xfId="0" applyFont="1" applyBorder="1"/>
    <xf numFmtId="0" fontId="22" fillId="0" borderId="9" xfId="0" applyFont="1" applyBorder="1" applyAlignment="1">
      <alignment horizontal="center"/>
    </xf>
    <xf numFmtId="14" fontId="0" fillId="0" borderId="0" xfId="0" applyNumberFormat="1"/>
    <xf numFmtId="0" fontId="22" fillId="0" borderId="4" xfId="0" applyFont="1" applyBorder="1" applyAlignment="1">
      <alignment horizontal="right"/>
    </xf>
    <xf numFmtId="0" fontId="22" fillId="0" borderId="6" xfId="0" applyFont="1" applyBorder="1"/>
    <xf numFmtId="0" fontId="26" fillId="0" borderId="0" xfId="0" applyFont="1" applyBorder="1"/>
    <xf numFmtId="0" fontId="13" fillId="0" borderId="0" xfId="0" applyFont="1"/>
    <xf numFmtId="0" fontId="12" fillId="0" borderId="0" xfId="0" applyFont="1"/>
    <xf numFmtId="0" fontId="0" fillId="0" borderId="10" xfId="0" applyFill="1" applyBorder="1"/>
    <xf numFmtId="0" fontId="0" fillId="0" borderId="9" xfId="0" applyFill="1" applyBorder="1"/>
    <xf numFmtId="0" fontId="29" fillId="0" borderId="0" xfId="0" applyFont="1"/>
    <xf numFmtId="0" fontId="0" fillId="0" borderId="0" xfId="0" quotePrefix="1"/>
    <xf numFmtId="9" fontId="0" fillId="0" borderId="0" xfId="0" applyNumberFormat="1"/>
    <xf numFmtId="0" fontId="22" fillId="0" borderId="0" xfId="0" quotePrefix="1" applyFont="1"/>
    <xf numFmtId="0" fontId="27" fillId="0" borderId="10" xfId="0" applyFont="1" applyBorder="1"/>
    <xf numFmtId="0" fontId="22" fillId="0" borderId="0" xfId="0" applyFont="1" applyBorder="1"/>
    <xf numFmtId="0" fontId="11" fillId="0" borderId="10" xfId="0" applyFont="1" applyBorder="1"/>
    <xf numFmtId="0" fontId="30" fillId="0" borderId="12" xfId="0" applyFont="1" applyBorder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23" fillId="0" borderId="2" xfId="0" applyFont="1" applyBorder="1"/>
    <xf numFmtId="0" fontId="23" fillId="0" borderId="3" xfId="0" applyFont="1" applyBorder="1"/>
    <xf numFmtId="0" fontId="27" fillId="0" borderId="1" xfId="0" applyFont="1" applyBorder="1"/>
    <xf numFmtId="0" fontId="0" fillId="0" borderId="0" xfId="0" applyFill="1"/>
    <xf numFmtId="0" fontId="0" fillId="0" borderId="0" xfId="0" applyFill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27" fillId="0" borderId="3" xfId="0" applyFont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13" xfId="0" applyBorder="1"/>
    <xf numFmtId="3" fontId="0" fillId="0" borderId="14" xfId="0" applyNumberFormat="1" applyBorder="1"/>
    <xf numFmtId="3" fontId="0" fillId="0" borderId="2" xfId="0" applyNumberFormat="1" applyBorder="1"/>
    <xf numFmtId="0" fontId="0" fillId="0" borderId="14" xfId="0" applyBorder="1"/>
    <xf numFmtId="0" fontId="0" fillId="0" borderId="15" xfId="0" applyBorder="1"/>
    <xf numFmtId="9" fontId="0" fillId="0" borderId="0" xfId="0" applyNumberFormat="1" applyBorder="1"/>
    <xf numFmtId="9" fontId="0" fillId="0" borderId="7" xfId="0" applyNumberFormat="1" applyBorder="1"/>
    <xf numFmtId="0" fontId="24" fillId="0" borderId="0" xfId="0" applyFont="1"/>
    <xf numFmtId="0" fontId="7" fillId="0" borderId="0" xfId="0" applyFont="1"/>
    <xf numFmtId="0" fontId="6" fillId="0" borderId="0" xfId="0" applyFont="1"/>
    <xf numFmtId="0" fontId="0" fillId="2" borderId="9" xfId="0" applyFill="1" applyBorder="1"/>
    <xf numFmtId="14" fontId="0" fillId="0" borderId="7" xfId="0" applyNumberFormat="1" applyBorder="1"/>
    <xf numFmtId="0" fontId="0" fillId="4" borderId="7" xfId="0" applyFill="1" applyBorder="1"/>
    <xf numFmtId="1" fontId="0" fillId="4" borderId="8" xfId="0" applyNumberFormat="1" applyFill="1" applyBorder="1"/>
    <xf numFmtId="14" fontId="0" fillId="5" borderId="7" xfId="0" applyNumberFormat="1" applyFill="1" applyBorder="1"/>
    <xf numFmtId="0" fontId="27" fillId="2" borderId="9" xfId="0" applyFont="1" applyFill="1" applyBorder="1"/>
    <xf numFmtId="0" fontId="0" fillId="0" borderId="9" xfId="0" quotePrefix="1" applyBorder="1"/>
    <xf numFmtId="9" fontId="0" fillId="0" borderId="9" xfId="0" applyNumberFormat="1" applyBorder="1"/>
    <xf numFmtId="0" fontId="29" fillId="0" borderId="9" xfId="0" applyFont="1" applyBorder="1"/>
    <xf numFmtId="0" fontId="27" fillId="0" borderId="9" xfId="0" applyFont="1" applyBorder="1"/>
    <xf numFmtId="0" fontId="32" fillId="0" borderId="9" xfId="0" applyFont="1" applyBorder="1"/>
    <xf numFmtId="0" fontId="28" fillId="0" borderId="9" xfId="0" applyFont="1" applyBorder="1"/>
    <xf numFmtId="0" fontId="5" fillId="0" borderId="9" xfId="0" applyFont="1" applyBorder="1"/>
    <xf numFmtId="0" fontId="4" fillId="0" borderId="9" xfId="0" applyFont="1" applyBorder="1" applyAlignment="1">
      <alignment horizontal="center"/>
    </xf>
    <xf numFmtId="0" fontId="30" fillId="0" borderId="9" xfId="0" applyFont="1" applyBorder="1"/>
    <xf numFmtId="0" fontId="27" fillId="0" borderId="0" xfId="0" applyFont="1" applyFill="1" applyBorder="1"/>
    <xf numFmtId="0" fontId="27" fillId="0" borderId="13" xfId="0" applyFont="1" applyBorder="1"/>
    <xf numFmtId="0" fontId="27" fillId="0" borderId="0" xfId="0" applyFont="1" applyBorder="1"/>
    <xf numFmtId="0" fontId="27" fillId="0" borderId="15" xfId="0" applyFont="1" applyBorder="1"/>
    <xf numFmtId="0" fontId="4" fillId="0" borderId="15" xfId="0" applyFont="1" applyBorder="1" applyAlignment="1">
      <alignment horizontal="left"/>
    </xf>
    <xf numFmtId="0" fontId="27" fillId="0" borderId="11" xfId="0" applyFont="1" applyBorder="1"/>
    <xf numFmtId="0" fontId="33" fillId="0" borderId="9" xfId="0" applyFont="1" applyBorder="1"/>
    <xf numFmtId="0" fontId="25" fillId="0" borderId="9" xfId="0" applyFont="1" applyBorder="1"/>
    <xf numFmtId="0" fontId="0" fillId="0" borderId="16" xfId="0" applyBorder="1"/>
    <xf numFmtId="0" fontId="0" fillId="0" borderId="17" xfId="0" applyBorder="1"/>
    <xf numFmtId="0" fontId="3" fillId="0" borderId="0" xfId="0" applyFont="1"/>
    <xf numFmtId="0" fontId="27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</cellXfs>
  <cellStyles count="1">
    <cellStyle name="Normal" xfId="0" builtinId="0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>
      <tableStyleElement type="wholeTable" dxfId="5"/>
      <tableStyleElement type="headerRow" dxfId="4"/>
      <tableStyleElement type="firstRowStripe" dxfId="3"/>
    </tableStyle>
    <tableStyle name="TableStyleQueryResult" pivot="0" count="3">
      <tableStyleElement type="wholeTable" dxfId="2"/>
      <tableStyleElement type="headerRow" dxfId="1"/>
      <tableStyleElement type="firstRowStripe" dxfId="0"/>
    </tableStyle>
  </tableStyles>
  <colors>
    <mruColors>
      <color rgb="FF7D7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17</xdr:row>
      <xdr:rowOff>23813</xdr:rowOff>
    </xdr:from>
    <xdr:to>
      <xdr:col>9</xdr:col>
      <xdr:colOff>552450</xdr:colOff>
      <xdr:row>17</xdr:row>
      <xdr:rowOff>25401</xdr:rowOff>
    </xdr:to>
    <xdr:cxnSp macro="">
      <xdr:nvCxnSpPr>
        <xdr:cNvPr id="5" name="Straight Arrow Connector 4"/>
        <xdr:cNvCxnSpPr/>
      </xdr:nvCxnSpPr>
      <xdr:spPr>
        <a:xfrm>
          <a:off x="1685925" y="3100388"/>
          <a:ext cx="4352925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</xdr:row>
      <xdr:rowOff>109538</xdr:rowOff>
    </xdr:from>
    <xdr:to>
      <xdr:col>3</xdr:col>
      <xdr:colOff>547688</xdr:colOff>
      <xdr:row>8</xdr:row>
      <xdr:rowOff>109538</xdr:rowOff>
    </xdr:to>
    <xdr:cxnSp macro="">
      <xdr:nvCxnSpPr>
        <xdr:cNvPr id="9" name="Straight Arrow Connector 8"/>
        <xdr:cNvCxnSpPr/>
      </xdr:nvCxnSpPr>
      <xdr:spPr>
        <a:xfrm>
          <a:off x="1828800" y="109538"/>
          <a:ext cx="54768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395288</xdr:colOff>
      <xdr:row>18</xdr:row>
      <xdr:rowOff>4765</xdr:rowOff>
    </xdr:from>
    <xdr:to>
      <xdr:col>10</xdr:col>
      <xdr:colOff>42863</xdr:colOff>
      <xdr:row>20</xdr:row>
      <xdr:rowOff>28575</xdr:rowOff>
    </xdr:to>
    <xdr:cxnSp macro="">
      <xdr:nvCxnSpPr>
        <xdr:cNvPr id="17" name="Straight Arrow Connector 16"/>
        <xdr:cNvCxnSpPr/>
      </xdr:nvCxnSpPr>
      <xdr:spPr>
        <a:xfrm flipV="1">
          <a:off x="5272088" y="2176465"/>
          <a:ext cx="866775" cy="38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290513</xdr:colOff>
      <xdr:row>16</xdr:row>
      <xdr:rowOff>2</xdr:rowOff>
    </xdr:from>
    <xdr:to>
      <xdr:col>6</xdr:col>
      <xdr:colOff>290516</xdr:colOff>
      <xdr:row>17</xdr:row>
      <xdr:rowOff>9526</xdr:rowOff>
    </xdr:to>
    <xdr:cxnSp macro="">
      <xdr:nvCxnSpPr>
        <xdr:cNvPr id="22" name="Straight Arrow Connector 21"/>
        <xdr:cNvCxnSpPr/>
      </xdr:nvCxnSpPr>
      <xdr:spPr>
        <a:xfrm rot="16200000" flipH="1">
          <a:off x="3852865" y="2809875"/>
          <a:ext cx="190499" cy="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295274</xdr:colOff>
      <xdr:row>9</xdr:row>
      <xdr:rowOff>3</xdr:rowOff>
    </xdr:from>
    <xdr:to>
      <xdr:col>4</xdr:col>
      <xdr:colOff>295275</xdr:colOff>
      <xdr:row>17</xdr:row>
      <xdr:rowOff>33340</xdr:rowOff>
    </xdr:to>
    <xdr:cxnSp macro="">
      <xdr:nvCxnSpPr>
        <xdr:cNvPr id="24" name="Straight Arrow Connector 23"/>
        <xdr:cNvCxnSpPr/>
      </xdr:nvCxnSpPr>
      <xdr:spPr>
        <a:xfrm rot="16200000" flipH="1">
          <a:off x="2083594" y="1373983"/>
          <a:ext cx="130016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309563</xdr:colOff>
      <xdr:row>6</xdr:row>
      <xdr:rowOff>157166</xdr:rowOff>
    </xdr:from>
    <xdr:to>
      <xdr:col>6</xdr:col>
      <xdr:colOff>257175</xdr:colOff>
      <xdr:row>11</xdr:row>
      <xdr:rowOff>4763</xdr:rowOff>
    </xdr:to>
    <xdr:cxnSp macro="">
      <xdr:nvCxnSpPr>
        <xdr:cNvPr id="28" name="Straight Arrow Connector 27"/>
        <xdr:cNvCxnSpPr/>
      </xdr:nvCxnSpPr>
      <xdr:spPr>
        <a:xfrm rot="16200000" flipH="1">
          <a:off x="3259933" y="1340646"/>
          <a:ext cx="752472" cy="5572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8</xdr:row>
      <xdr:rowOff>161925</xdr:rowOff>
    </xdr:from>
    <xdr:to>
      <xdr:col>5</xdr:col>
      <xdr:colOff>381003</xdr:colOff>
      <xdr:row>11</xdr:row>
      <xdr:rowOff>33340</xdr:rowOff>
    </xdr:to>
    <xdr:cxnSp macro="">
      <xdr:nvCxnSpPr>
        <xdr:cNvPr id="30" name="Straight Arrow Connector 29"/>
        <xdr:cNvCxnSpPr/>
      </xdr:nvCxnSpPr>
      <xdr:spPr>
        <a:xfrm rot="16200000" flipH="1">
          <a:off x="3150394" y="1745456"/>
          <a:ext cx="414340" cy="1428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238125</xdr:colOff>
      <xdr:row>6</xdr:row>
      <xdr:rowOff>114300</xdr:rowOff>
    </xdr:from>
    <xdr:to>
      <xdr:col>2</xdr:col>
      <xdr:colOff>557213</xdr:colOff>
      <xdr:row>8</xdr:row>
      <xdr:rowOff>28577</xdr:rowOff>
    </xdr:to>
    <xdr:cxnSp macro="">
      <xdr:nvCxnSpPr>
        <xdr:cNvPr id="33" name="Straight Arrow Connector 32"/>
        <xdr:cNvCxnSpPr/>
      </xdr:nvCxnSpPr>
      <xdr:spPr>
        <a:xfrm flipV="1">
          <a:off x="1457325" y="1200150"/>
          <a:ext cx="319088" cy="2762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416172</xdr:colOff>
      <xdr:row>12</xdr:row>
      <xdr:rowOff>29311</xdr:rowOff>
    </xdr:from>
    <xdr:to>
      <xdr:col>6</xdr:col>
      <xdr:colOff>80964</xdr:colOff>
      <xdr:row>17</xdr:row>
      <xdr:rowOff>23812</xdr:rowOff>
    </xdr:to>
    <xdr:cxnSp macro="">
      <xdr:nvCxnSpPr>
        <xdr:cNvPr id="47" name="Straight Arrow Connector 46"/>
        <xdr:cNvCxnSpPr/>
      </xdr:nvCxnSpPr>
      <xdr:spPr>
        <a:xfrm rot="16200000" flipH="1">
          <a:off x="3149848" y="2524127"/>
          <a:ext cx="903040" cy="2743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8</xdr:row>
      <xdr:rowOff>114300</xdr:rowOff>
    </xdr:from>
    <xdr:to>
      <xdr:col>8</xdr:col>
      <xdr:colOff>485775</xdr:colOff>
      <xdr:row>8</xdr:row>
      <xdr:rowOff>115888</xdr:rowOff>
    </xdr:to>
    <xdr:cxnSp macro="">
      <xdr:nvCxnSpPr>
        <xdr:cNvPr id="61" name="Straight Arrow Connector 60"/>
        <xdr:cNvCxnSpPr/>
      </xdr:nvCxnSpPr>
      <xdr:spPr>
        <a:xfrm>
          <a:off x="3914775" y="1562100"/>
          <a:ext cx="14478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295277</xdr:colOff>
      <xdr:row>12</xdr:row>
      <xdr:rowOff>29307</xdr:rowOff>
    </xdr:from>
    <xdr:to>
      <xdr:col>6</xdr:col>
      <xdr:colOff>310663</xdr:colOff>
      <xdr:row>15</xdr:row>
      <xdr:rowOff>42863</xdr:rowOff>
    </xdr:to>
    <xdr:cxnSp macro="">
      <xdr:nvCxnSpPr>
        <xdr:cNvPr id="16" name="Straight Arrow Connector 15"/>
        <xdr:cNvCxnSpPr/>
      </xdr:nvCxnSpPr>
      <xdr:spPr>
        <a:xfrm rot="5400000">
          <a:off x="3681230" y="2481446"/>
          <a:ext cx="558679" cy="153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504094</xdr:colOff>
      <xdr:row>12</xdr:row>
      <xdr:rowOff>5863</xdr:rowOff>
    </xdr:from>
    <xdr:to>
      <xdr:col>9</xdr:col>
      <xdr:colOff>552450</xdr:colOff>
      <xdr:row>16</xdr:row>
      <xdr:rowOff>85726</xdr:rowOff>
    </xdr:to>
    <xdr:cxnSp macro="">
      <xdr:nvCxnSpPr>
        <xdr:cNvPr id="34" name="Straight Arrow Connector 33"/>
        <xdr:cNvCxnSpPr/>
      </xdr:nvCxnSpPr>
      <xdr:spPr>
        <a:xfrm rot="10800000">
          <a:off x="4161694" y="2177563"/>
          <a:ext cx="1877156" cy="803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252412</xdr:colOff>
      <xdr:row>5</xdr:row>
      <xdr:rowOff>4761</xdr:rowOff>
    </xdr:from>
    <xdr:to>
      <xdr:col>4</xdr:col>
      <xdr:colOff>319087</xdr:colOff>
      <xdr:row>5</xdr:row>
      <xdr:rowOff>180974</xdr:rowOff>
    </xdr:to>
    <xdr:cxnSp macro="">
      <xdr:nvCxnSpPr>
        <xdr:cNvPr id="48" name="Straight Arrow Connector 47"/>
        <xdr:cNvCxnSpPr/>
      </xdr:nvCxnSpPr>
      <xdr:spPr>
        <a:xfrm rot="16200000" flipH="1">
          <a:off x="2636043" y="964405"/>
          <a:ext cx="176213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585788</xdr:colOff>
      <xdr:row>4</xdr:row>
      <xdr:rowOff>176212</xdr:rowOff>
    </xdr:from>
    <xdr:to>
      <xdr:col>4</xdr:col>
      <xdr:colOff>57150</xdr:colOff>
      <xdr:row>6</xdr:row>
      <xdr:rowOff>4762</xdr:rowOff>
    </xdr:to>
    <xdr:cxnSp macro="">
      <xdr:nvCxnSpPr>
        <xdr:cNvPr id="50" name="Straight Arrow Connector 49"/>
        <xdr:cNvCxnSpPr/>
      </xdr:nvCxnSpPr>
      <xdr:spPr>
        <a:xfrm rot="5400000">
          <a:off x="2359819" y="954881"/>
          <a:ext cx="190500" cy="809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23</xdr:row>
      <xdr:rowOff>4763</xdr:rowOff>
    </xdr:from>
    <xdr:to>
      <xdr:col>9</xdr:col>
      <xdr:colOff>42865</xdr:colOff>
      <xdr:row>24</xdr:row>
      <xdr:rowOff>152402</xdr:rowOff>
    </xdr:to>
    <xdr:cxnSp macro="">
      <xdr:nvCxnSpPr>
        <xdr:cNvPr id="18" name="Straight Arrow Connector 17"/>
        <xdr:cNvCxnSpPr/>
      </xdr:nvCxnSpPr>
      <xdr:spPr>
        <a:xfrm rot="16200000" flipV="1">
          <a:off x="5248276" y="4214812"/>
          <a:ext cx="328614" cy="2333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20</xdr:row>
      <xdr:rowOff>119063</xdr:rowOff>
    </xdr:from>
    <xdr:to>
      <xdr:col>8</xdr:col>
      <xdr:colOff>542925</xdr:colOff>
      <xdr:row>25</xdr:row>
      <xdr:rowOff>90488</xdr:rowOff>
    </xdr:to>
    <xdr:cxnSp macro="">
      <xdr:nvCxnSpPr>
        <xdr:cNvPr id="21" name="Straight Arrow Connector 20"/>
        <xdr:cNvCxnSpPr/>
      </xdr:nvCxnSpPr>
      <xdr:spPr>
        <a:xfrm>
          <a:off x="2466975" y="3557588"/>
          <a:ext cx="295275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516185</xdr:colOff>
      <xdr:row>10</xdr:row>
      <xdr:rowOff>111368</xdr:rowOff>
    </xdr:from>
    <xdr:to>
      <xdr:col>8</xdr:col>
      <xdr:colOff>11723</xdr:colOff>
      <xdr:row>11</xdr:row>
      <xdr:rowOff>95251</xdr:rowOff>
    </xdr:to>
    <xdr:cxnSp macro="">
      <xdr:nvCxnSpPr>
        <xdr:cNvPr id="39" name="Straight Arrow Connector 38"/>
        <xdr:cNvCxnSpPr/>
      </xdr:nvCxnSpPr>
      <xdr:spPr>
        <a:xfrm rot="10800000" flipV="1">
          <a:off x="4173785" y="1928445"/>
          <a:ext cx="714738" cy="16559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294480</xdr:colOff>
      <xdr:row>13</xdr:row>
      <xdr:rowOff>147639</xdr:rowOff>
    </xdr:from>
    <xdr:to>
      <xdr:col>5</xdr:col>
      <xdr:colOff>295277</xdr:colOff>
      <xdr:row>25</xdr:row>
      <xdr:rowOff>34135</xdr:rowOff>
    </xdr:to>
    <xdr:cxnSp macro="">
      <xdr:nvCxnSpPr>
        <xdr:cNvPr id="20" name="Straight Connector 19"/>
        <xdr:cNvCxnSpPr/>
      </xdr:nvCxnSpPr>
      <xdr:spPr>
        <a:xfrm rot="5400000" flipH="1" flipV="1">
          <a:off x="2313781" y="3348038"/>
          <a:ext cx="2058196" cy="7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71437</xdr:colOff>
      <xdr:row>4</xdr:row>
      <xdr:rowOff>176212</xdr:rowOff>
    </xdr:from>
    <xdr:to>
      <xdr:col>5</xdr:col>
      <xdr:colOff>152399</xdr:colOff>
      <xdr:row>6</xdr:row>
      <xdr:rowOff>4762</xdr:rowOff>
    </xdr:to>
    <xdr:cxnSp macro="">
      <xdr:nvCxnSpPr>
        <xdr:cNvPr id="25" name="Straight Arrow Connector 24"/>
        <xdr:cNvCxnSpPr/>
      </xdr:nvCxnSpPr>
      <xdr:spPr>
        <a:xfrm rot="5400000">
          <a:off x="3064668" y="954881"/>
          <a:ext cx="190500" cy="809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242888</xdr:colOff>
      <xdr:row>18</xdr:row>
      <xdr:rowOff>9526</xdr:rowOff>
    </xdr:from>
    <xdr:to>
      <xdr:col>6</xdr:col>
      <xdr:colOff>33338</xdr:colOff>
      <xdr:row>19</xdr:row>
      <xdr:rowOff>95250</xdr:rowOff>
    </xdr:to>
    <xdr:cxnSp macro="">
      <xdr:nvCxnSpPr>
        <xdr:cNvPr id="31" name="Straight Arrow Connector 30"/>
        <xdr:cNvCxnSpPr/>
      </xdr:nvCxnSpPr>
      <xdr:spPr>
        <a:xfrm flipV="1">
          <a:off x="2681288" y="3086101"/>
          <a:ext cx="1009650" cy="266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376238</xdr:colOff>
      <xdr:row>26</xdr:row>
      <xdr:rowOff>4763</xdr:rowOff>
    </xdr:from>
    <xdr:to>
      <xdr:col>7</xdr:col>
      <xdr:colOff>19050</xdr:colOff>
      <xdr:row>26</xdr:row>
      <xdr:rowOff>109538</xdr:rowOff>
    </xdr:to>
    <xdr:cxnSp macro="">
      <xdr:nvCxnSpPr>
        <xdr:cNvPr id="49" name="Straight Arrow Connector 48"/>
        <xdr:cNvCxnSpPr/>
      </xdr:nvCxnSpPr>
      <xdr:spPr>
        <a:xfrm>
          <a:off x="3424238" y="4529138"/>
          <a:ext cx="862012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187572</xdr:colOff>
      <xdr:row>11</xdr:row>
      <xdr:rowOff>123092</xdr:rowOff>
    </xdr:from>
    <xdr:to>
      <xdr:col>7</xdr:col>
      <xdr:colOff>539263</xdr:colOff>
      <xdr:row>11</xdr:row>
      <xdr:rowOff>123094</xdr:rowOff>
    </xdr:to>
    <xdr:cxnSp macro="">
      <xdr:nvCxnSpPr>
        <xdr:cNvPr id="29" name="Straight Arrow Connector 28"/>
        <xdr:cNvCxnSpPr/>
      </xdr:nvCxnSpPr>
      <xdr:spPr>
        <a:xfrm rot="10800000" flipV="1">
          <a:off x="4454772" y="2121877"/>
          <a:ext cx="35169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328246</xdr:colOff>
      <xdr:row>31</xdr:row>
      <xdr:rowOff>23447</xdr:rowOff>
    </xdr:from>
    <xdr:to>
      <xdr:col>9</xdr:col>
      <xdr:colOff>328250</xdr:colOff>
      <xdr:row>31</xdr:row>
      <xdr:rowOff>158263</xdr:rowOff>
    </xdr:to>
    <xdr:cxnSp macro="">
      <xdr:nvCxnSpPr>
        <xdr:cNvPr id="36" name="Straight Arrow Connector 35"/>
        <xdr:cNvCxnSpPr/>
      </xdr:nvCxnSpPr>
      <xdr:spPr>
        <a:xfrm rot="16200000" flipH="1">
          <a:off x="5747240" y="5723791"/>
          <a:ext cx="134816" cy="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334109</xdr:colOff>
      <xdr:row>33</xdr:row>
      <xdr:rowOff>58616</xdr:rowOff>
    </xdr:from>
    <xdr:to>
      <xdr:col>9</xdr:col>
      <xdr:colOff>334111</xdr:colOff>
      <xdr:row>34</xdr:row>
      <xdr:rowOff>158263</xdr:rowOff>
    </xdr:to>
    <xdr:cxnSp macro="">
      <xdr:nvCxnSpPr>
        <xdr:cNvPr id="38" name="Straight Arrow Connector 37"/>
        <xdr:cNvCxnSpPr/>
      </xdr:nvCxnSpPr>
      <xdr:spPr>
        <a:xfrm rot="16200000" flipH="1">
          <a:off x="5679832" y="6013939"/>
          <a:ext cx="281355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592016</xdr:colOff>
      <xdr:row>31</xdr:row>
      <xdr:rowOff>29307</xdr:rowOff>
    </xdr:from>
    <xdr:to>
      <xdr:col>12</xdr:col>
      <xdr:colOff>1</xdr:colOff>
      <xdr:row>31</xdr:row>
      <xdr:rowOff>35169</xdr:rowOff>
    </xdr:to>
    <xdr:cxnSp macro="">
      <xdr:nvCxnSpPr>
        <xdr:cNvPr id="40" name="Straight Arrow Connector 39"/>
        <xdr:cNvCxnSpPr/>
      </xdr:nvCxnSpPr>
      <xdr:spPr>
        <a:xfrm rot="10800000">
          <a:off x="6688016" y="5662245"/>
          <a:ext cx="627185" cy="58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310661</xdr:colOff>
      <xdr:row>30</xdr:row>
      <xdr:rowOff>35170</xdr:rowOff>
    </xdr:from>
    <xdr:to>
      <xdr:col>13</xdr:col>
      <xdr:colOff>310663</xdr:colOff>
      <xdr:row>31</xdr:row>
      <xdr:rowOff>134817</xdr:rowOff>
    </xdr:to>
    <xdr:cxnSp macro="">
      <xdr:nvCxnSpPr>
        <xdr:cNvPr id="44" name="Straight Arrow Connector 43"/>
        <xdr:cNvCxnSpPr/>
      </xdr:nvCxnSpPr>
      <xdr:spPr>
        <a:xfrm rot="16200000" flipH="1">
          <a:off x="8094785" y="5627077"/>
          <a:ext cx="281354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281354</xdr:colOff>
      <xdr:row>30</xdr:row>
      <xdr:rowOff>23445</xdr:rowOff>
    </xdr:from>
    <xdr:to>
      <xdr:col>14</xdr:col>
      <xdr:colOff>281356</xdr:colOff>
      <xdr:row>31</xdr:row>
      <xdr:rowOff>123092</xdr:rowOff>
    </xdr:to>
    <xdr:cxnSp macro="">
      <xdr:nvCxnSpPr>
        <xdr:cNvPr id="45" name="Straight Arrow Connector 44"/>
        <xdr:cNvCxnSpPr/>
      </xdr:nvCxnSpPr>
      <xdr:spPr>
        <a:xfrm rot="16200000" flipH="1">
          <a:off x="8675078" y="5615352"/>
          <a:ext cx="281354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126124</xdr:colOff>
      <xdr:row>51</xdr:row>
      <xdr:rowOff>99848</xdr:rowOff>
    </xdr:from>
    <xdr:to>
      <xdr:col>5</xdr:col>
      <xdr:colOff>520262</xdr:colOff>
      <xdr:row>51</xdr:row>
      <xdr:rowOff>101436</xdr:rowOff>
    </xdr:to>
    <xdr:cxnSp macro="">
      <xdr:nvCxnSpPr>
        <xdr:cNvPr id="7" name="Straight Arrow Connector 6"/>
        <xdr:cNvCxnSpPr/>
      </xdr:nvCxnSpPr>
      <xdr:spPr>
        <a:xfrm>
          <a:off x="3221421" y="9480331"/>
          <a:ext cx="3941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68316</xdr:colOff>
      <xdr:row>51</xdr:row>
      <xdr:rowOff>94593</xdr:rowOff>
    </xdr:from>
    <xdr:to>
      <xdr:col>2</xdr:col>
      <xdr:colOff>515006</xdr:colOff>
      <xdr:row>51</xdr:row>
      <xdr:rowOff>96181</xdr:rowOff>
    </xdr:to>
    <xdr:cxnSp macro="">
      <xdr:nvCxnSpPr>
        <xdr:cNvPr id="10" name="Straight Arrow Connector 9"/>
        <xdr:cNvCxnSpPr/>
      </xdr:nvCxnSpPr>
      <xdr:spPr>
        <a:xfrm>
          <a:off x="1287516" y="9475076"/>
          <a:ext cx="446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126124</xdr:colOff>
      <xdr:row>49</xdr:row>
      <xdr:rowOff>99848</xdr:rowOff>
    </xdr:from>
    <xdr:to>
      <xdr:col>5</xdr:col>
      <xdr:colOff>520262</xdr:colOff>
      <xdr:row>49</xdr:row>
      <xdr:rowOff>101436</xdr:rowOff>
    </xdr:to>
    <xdr:cxnSp macro="">
      <xdr:nvCxnSpPr>
        <xdr:cNvPr id="12" name="Straight Arrow Connector 11"/>
        <xdr:cNvCxnSpPr/>
      </xdr:nvCxnSpPr>
      <xdr:spPr>
        <a:xfrm>
          <a:off x="3221421" y="9112469"/>
          <a:ext cx="3941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126124</xdr:colOff>
      <xdr:row>47</xdr:row>
      <xdr:rowOff>110358</xdr:rowOff>
    </xdr:from>
    <xdr:to>
      <xdr:col>5</xdr:col>
      <xdr:colOff>520262</xdr:colOff>
      <xdr:row>47</xdr:row>
      <xdr:rowOff>111946</xdr:rowOff>
    </xdr:to>
    <xdr:cxnSp macro="">
      <xdr:nvCxnSpPr>
        <xdr:cNvPr id="13" name="Straight Arrow Connector 12"/>
        <xdr:cNvCxnSpPr/>
      </xdr:nvCxnSpPr>
      <xdr:spPr>
        <a:xfrm>
          <a:off x="3221421" y="8755117"/>
          <a:ext cx="3941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126124</xdr:colOff>
      <xdr:row>45</xdr:row>
      <xdr:rowOff>120868</xdr:rowOff>
    </xdr:from>
    <xdr:to>
      <xdr:col>5</xdr:col>
      <xdr:colOff>520262</xdr:colOff>
      <xdr:row>45</xdr:row>
      <xdr:rowOff>122456</xdr:rowOff>
    </xdr:to>
    <xdr:cxnSp macro="">
      <xdr:nvCxnSpPr>
        <xdr:cNvPr id="14" name="Straight Arrow Connector 13"/>
        <xdr:cNvCxnSpPr/>
      </xdr:nvCxnSpPr>
      <xdr:spPr>
        <a:xfrm>
          <a:off x="3221421" y="8397765"/>
          <a:ext cx="39413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68316</xdr:colOff>
      <xdr:row>49</xdr:row>
      <xdr:rowOff>99848</xdr:rowOff>
    </xdr:from>
    <xdr:to>
      <xdr:col>2</xdr:col>
      <xdr:colOff>515006</xdr:colOff>
      <xdr:row>49</xdr:row>
      <xdr:rowOff>101436</xdr:rowOff>
    </xdr:to>
    <xdr:cxnSp macro="">
      <xdr:nvCxnSpPr>
        <xdr:cNvPr id="15" name="Straight Arrow Connector 14"/>
        <xdr:cNvCxnSpPr/>
      </xdr:nvCxnSpPr>
      <xdr:spPr>
        <a:xfrm>
          <a:off x="1287516" y="9112469"/>
          <a:ext cx="446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68316</xdr:colOff>
      <xdr:row>47</xdr:row>
      <xdr:rowOff>94593</xdr:rowOff>
    </xdr:from>
    <xdr:to>
      <xdr:col>2</xdr:col>
      <xdr:colOff>515006</xdr:colOff>
      <xdr:row>47</xdr:row>
      <xdr:rowOff>96181</xdr:rowOff>
    </xdr:to>
    <xdr:cxnSp macro="">
      <xdr:nvCxnSpPr>
        <xdr:cNvPr id="16" name="Straight Arrow Connector 15"/>
        <xdr:cNvCxnSpPr/>
      </xdr:nvCxnSpPr>
      <xdr:spPr>
        <a:xfrm>
          <a:off x="1287516" y="8739352"/>
          <a:ext cx="446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68316</xdr:colOff>
      <xdr:row>45</xdr:row>
      <xdr:rowOff>115614</xdr:rowOff>
    </xdr:from>
    <xdr:to>
      <xdr:col>2</xdr:col>
      <xdr:colOff>515006</xdr:colOff>
      <xdr:row>45</xdr:row>
      <xdr:rowOff>117202</xdr:rowOff>
    </xdr:to>
    <xdr:cxnSp macro="">
      <xdr:nvCxnSpPr>
        <xdr:cNvPr id="17" name="Straight Arrow Connector 16"/>
        <xdr:cNvCxnSpPr/>
      </xdr:nvCxnSpPr>
      <xdr:spPr>
        <a:xfrm>
          <a:off x="1287516" y="8392511"/>
          <a:ext cx="446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57807</xdr:colOff>
      <xdr:row>82</xdr:row>
      <xdr:rowOff>115614</xdr:rowOff>
    </xdr:from>
    <xdr:to>
      <xdr:col>6</xdr:col>
      <xdr:colOff>504497</xdr:colOff>
      <xdr:row>82</xdr:row>
      <xdr:rowOff>117202</xdr:rowOff>
    </xdr:to>
    <xdr:cxnSp macro="">
      <xdr:nvCxnSpPr>
        <xdr:cNvPr id="3" name="Straight Arrow Connector 2"/>
        <xdr:cNvCxnSpPr/>
      </xdr:nvCxnSpPr>
      <xdr:spPr>
        <a:xfrm>
          <a:off x="2496207" y="26785614"/>
          <a:ext cx="44669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57807</xdr:colOff>
      <xdr:row>82</xdr:row>
      <xdr:rowOff>99848</xdr:rowOff>
    </xdr:from>
    <xdr:to>
      <xdr:col>9</xdr:col>
      <xdr:colOff>546538</xdr:colOff>
      <xdr:row>82</xdr:row>
      <xdr:rowOff>101436</xdr:rowOff>
    </xdr:to>
    <xdr:cxnSp macro="">
      <xdr:nvCxnSpPr>
        <xdr:cNvPr id="5" name="Straight Arrow Connector 4"/>
        <xdr:cNvCxnSpPr/>
      </xdr:nvCxnSpPr>
      <xdr:spPr>
        <a:xfrm>
          <a:off x="4325007" y="26769848"/>
          <a:ext cx="4887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47297</xdr:colOff>
      <xdr:row>82</xdr:row>
      <xdr:rowOff>94593</xdr:rowOff>
    </xdr:from>
    <xdr:to>
      <xdr:col>3</xdr:col>
      <xdr:colOff>504497</xdr:colOff>
      <xdr:row>82</xdr:row>
      <xdr:rowOff>96181</xdr:rowOff>
    </xdr:to>
    <xdr:cxnSp macro="">
      <xdr:nvCxnSpPr>
        <xdr:cNvPr id="7" name="Straight Arrow Connector 6"/>
        <xdr:cNvCxnSpPr/>
      </xdr:nvCxnSpPr>
      <xdr:spPr>
        <a:xfrm>
          <a:off x="1876097" y="26764593"/>
          <a:ext cx="4572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244891</xdr:colOff>
      <xdr:row>13</xdr:row>
      <xdr:rowOff>130328</xdr:rowOff>
    </xdr:from>
    <xdr:to>
      <xdr:col>4</xdr:col>
      <xdr:colOff>1273591</xdr:colOff>
      <xdr:row>19</xdr:row>
      <xdr:rowOff>60697</xdr:rowOff>
    </xdr:to>
    <xdr:sp macro="" textlink="">
      <xdr:nvSpPr>
        <xdr:cNvPr id="2" name="Oval 1"/>
        <xdr:cNvSpPr/>
      </xdr:nvSpPr>
      <xdr:spPr>
        <a:xfrm>
          <a:off x="2683291" y="2153569"/>
          <a:ext cx="1028700" cy="1033956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bg-BG" sz="1100"/>
        </a:p>
      </xdr:txBody>
    </xdr:sp>
    <xdr:clientData/>
  </xdr:twoCellAnchor>
  <xdr:twoCellAnchor>
    <xdr:from>
      <xdr:col>4</xdr:col>
      <xdr:colOff>382051</xdr:colOff>
      <xdr:row>13</xdr:row>
      <xdr:rowOff>160808</xdr:rowOff>
    </xdr:from>
    <xdr:to>
      <xdr:col>4</xdr:col>
      <xdr:colOff>1136431</xdr:colOff>
      <xdr:row>19</xdr:row>
      <xdr:rowOff>30217</xdr:rowOff>
    </xdr:to>
    <xdr:sp macro="" textlink="">
      <xdr:nvSpPr>
        <xdr:cNvPr id="3" name="Oval 2"/>
        <xdr:cNvSpPr/>
      </xdr:nvSpPr>
      <xdr:spPr>
        <a:xfrm>
          <a:off x="2820451" y="2184049"/>
          <a:ext cx="754380" cy="972996"/>
        </a:xfrm>
        <a:prstGeom prst="ellipse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900"/>
            <a:t>Мисли</a:t>
          </a:r>
        </a:p>
      </xdr:txBody>
    </xdr:sp>
    <xdr:clientData/>
  </xdr:twoCellAnchor>
  <xdr:twoCellAnchor>
    <xdr:from>
      <xdr:col>1</xdr:col>
      <xdr:colOff>141889</xdr:colOff>
      <xdr:row>15</xdr:row>
      <xdr:rowOff>110359</xdr:rowOff>
    </xdr:from>
    <xdr:to>
      <xdr:col>3</xdr:col>
      <xdr:colOff>430924</xdr:colOff>
      <xdr:row>17</xdr:row>
      <xdr:rowOff>68317</xdr:rowOff>
    </xdr:to>
    <xdr:sp macro="" textlink="">
      <xdr:nvSpPr>
        <xdr:cNvPr id="5" name="Rounded Rectangle 4"/>
        <xdr:cNvSpPr/>
      </xdr:nvSpPr>
      <xdr:spPr>
        <a:xfrm>
          <a:off x="751489" y="2501462"/>
          <a:ext cx="1508235" cy="32582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Подсъзнание</a:t>
          </a:r>
        </a:p>
      </xdr:txBody>
    </xdr:sp>
    <xdr:clientData/>
  </xdr:twoCellAnchor>
  <xdr:twoCellAnchor>
    <xdr:from>
      <xdr:col>7</xdr:col>
      <xdr:colOff>212834</xdr:colOff>
      <xdr:row>15</xdr:row>
      <xdr:rowOff>141890</xdr:rowOff>
    </xdr:from>
    <xdr:to>
      <xdr:col>9</xdr:col>
      <xdr:colOff>55179</xdr:colOff>
      <xdr:row>16</xdr:row>
      <xdr:rowOff>162911</xdr:rowOff>
    </xdr:to>
    <xdr:sp macro="" textlink="">
      <xdr:nvSpPr>
        <xdr:cNvPr id="6" name="Rounded Rectangle 5"/>
        <xdr:cNvSpPr/>
      </xdr:nvSpPr>
      <xdr:spPr>
        <a:xfrm>
          <a:off x="5400296" y="2867505"/>
          <a:ext cx="1061545" cy="2027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Действия</a:t>
          </a:r>
        </a:p>
      </xdr:txBody>
    </xdr:sp>
    <xdr:clientData/>
  </xdr:twoCellAnchor>
  <xdr:twoCellAnchor>
    <xdr:from>
      <xdr:col>9</xdr:col>
      <xdr:colOff>325820</xdr:colOff>
      <xdr:row>15</xdr:row>
      <xdr:rowOff>141890</xdr:rowOff>
    </xdr:from>
    <xdr:to>
      <xdr:col>11</xdr:col>
      <xdr:colOff>168165</xdr:colOff>
      <xdr:row>16</xdr:row>
      <xdr:rowOff>162911</xdr:rowOff>
    </xdr:to>
    <xdr:sp macro="" textlink="">
      <xdr:nvSpPr>
        <xdr:cNvPr id="7" name="Rounded Rectangle 6"/>
        <xdr:cNvSpPr/>
      </xdr:nvSpPr>
      <xdr:spPr>
        <a:xfrm>
          <a:off x="6731875" y="2532993"/>
          <a:ext cx="1061545" cy="2049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Резултат</a:t>
          </a:r>
        </a:p>
      </xdr:txBody>
    </xdr:sp>
    <xdr:clientData/>
  </xdr:twoCellAnchor>
  <xdr:twoCellAnchor>
    <xdr:from>
      <xdr:col>4</xdr:col>
      <xdr:colOff>99849</xdr:colOff>
      <xdr:row>1</xdr:row>
      <xdr:rowOff>78827</xdr:rowOff>
    </xdr:from>
    <xdr:to>
      <xdr:col>4</xdr:col>
      <xdr:colOff>1481959</xdr:colOff>
      <xdr:row>3</xdr:row>
      <xdr:rowOff>89337</xdr:rowOff>
    </xdr:to>
    <xdr:sp macro="" textlink="">
      <xdr:nvSpPr>
        <xdr:cNvPr id="8" name="Rounded Rectangle 7"/>
        <xdr:cNvSpPr/>
      </xdr:nvSpPr>
      <xdr:spPr>
        <a:xfrm>
          <a:off x="2538249" y="262758"/>
          <a:ext cx="1382110" cy="3783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Цели</a:t>
          </a:r>
        </a:p>
      </xdr:txBody>
    </xdr:sp>
    <xdr:clientData/>
  </xdr:twoCellAnchor>
  <xdr:twoCellAnchor>
    <xdr:from>
      <xdr:col>5</xdr:col>
      <xdr:colOff>134007</xdr:colOff>
      <xdr:row>1</xdr:row>
      <xdr:rowOff>149774</xdr:rowOff>
    </xdr:from>
    <xdr:to>
      <xdr:col>6</xdr:col>
      <xdr:colOff>585952</xdr:colOff>
      <xdr:row>2</xdr:row>
      <xdr:rowOff>170795</xdr:rowOff>
    </xdr:to>
    <xdr:sp macro="" textlink="">
      <xdr:nvSpPr>
        <xdr:cNvPr id="9" name="Rounded Rectangle 8"/>
        <xdr:cNvSpPr/>
      </xdr:nvSpPr>
      <xdr:spPr>
        <a:xfrm>
          <a:off x="4101662" y="333705"/>
          <a:ext cx="1061545" cy="2049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Задачи</a:t>
          </a:r>
        </a:p>
      </xdr:txBody>
    </xdr:sp>
    <xdr:clientData/>
  </xdr:twoCellAnchor>
  <xdr:twoCellAnchor>
    <xdr:from>
      <xdr:col>9</xdr:col>
      <xdr:colOff>333703</xdr:colOff>
      <xdr:row>5</xdr:row>
      <xdr:rowOff>149774</xdr:rowOff>
    </xdr:from>
    <xdr:to>
      <xdr:col>11</xdr:col>
      <xdr:colOff>176048</xdr:colOff>
      <xdr:row>6</xdr:row>
      <xdr:rowOff>170795</xdr:rowOff>
    </xdr:to>
    <xdr:sp macro="" textlink="">
      <xdr:nvSpPr>
        <xdr:cNvPr id="10" name="Rounded Rectangle 9"/>
        <xdr:cNvSpPr/>
      </xdr:nvSpPr>
      <xdr:spPr>
        <a:xfrm>
          <a:off x="6739758" y="1069429"/>
          <a:ext cx="1061545" cy="2049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Умения ()</a:t>
          </a:r>
        </a:p>
      </xdr:txBody>
    </xdr:sp>
    <xdr:clientData/>
  </xdr:twoCellAnchor>
  <xdr:twoCellAnchor>
    <xdr:from>
      <xdr:col>0</xdr:col>
      <xdr:colOff>162910</xdr:colOff>
      <xdr:row>2</xdr:row>
      <xdr:rowOff>141890</xdr:rowOff>
    </xdr:from>
    <xdr:to>
      <xdr:col>2</xdr:col>
      <xdr:colOff>5255</xdr:colOff>
      <xdr:row>3</xdr:row>
      <xdr:rowOff>162911</xdr:rowOff>
    </xdr:to>
    <xdr:sp macro="" textlink="">
      <xdr:nvSpPr>
        <xdr:cNvPr id="11" name="Rounded Rectangle 10"/>
        <xdr:cNvSpPr/>
      </xdr:nvSpPr>
      <xdr:spPr>
        <a:xfrm>
          <a:off x="162910" y="509752"/>
          <a:ext cx="1061545" cy="20495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Страхове</a:t>
          </a:r>
        </a:p>
      </xdr:txBody>
    </xdr:sp>
    <xdr:clientData/>
  </xdr:twoCellAnchor>
  <xdr:twoCellAnchor>
    <xdr:from>
      <xdr:col>0</xdr:col>
      <xdr:colOff>162910</xdr:colOff>
      <xdr:row>4</xdr:row>
      <xdr:rowOff>152400</xdr:rowOff>
    </xdr:from>
    <xdr:to>
      <xdr:col>2</xdr:col>
      <xdr:colOff>5255</xdr:colOff>
      <xdr:row>5</xdr:row>
      <xdr:rowOff>173421</xdr:rowOff>
    </xdr:to>
    <xdr:sp macro="" textlink="">
      <xdr:nvSpPr>
        <xdr:cNvPr id="12" name="Rounded Rectangle 11"/>
        <xdr:cNvSpPr/>
      </xdr:nvSpPr>
      <xdr:spPr>
        <a:xfrm>
          <a:off x="162910" y="888124"/>
          <a:ext cx="1061545" cy="20495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Нег.</a:t>
          </a:r>
          <a:r>
            <a:rPr lang="bg-BG" sz="1100" baseline="0"/>
            <a:t> мисли</a:t>
          </a:r>
        </a:p>
      </xdr:txBody>
    </xdr:sp>
    <xdr:clientData/>
  </xdr:twoCellAnchor>
  <xdr:twoCellAnchor>
    <xdr:from>
      <xdr:col>0</xdr:col>
      <xdr:colOff>162910</xdr:colOff>
      <xdr:row>6</xdr:row>
      <xdr:rowOff>147145</xdr:rowOff>
    </xdr:from>
    <xdr:to>
      <xdr:col>2</xdr:col>
      <xdr:colOff>5255</xdr:colOff>
      <xdr:row>7</xdr:row>
      <xdr:rowOff>168166</xdr:rowOff>
    </xdr:to>
    <xdr:sp macro="" textlink="">
      <xdr:nvSpPr>
        <xdr:cNvPr id="13" name="Rounded Rectangle 12"/>
        <xdr:cNvSpPr/>
      </xdr:nvSpPr>
      <xdr:spPr>
        <a:xfrm>
          <a:off x="162910" y="1250731"/>
          <a:ext cx="1061545" cy="204952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 baseline="0"/>
            <a:t>Проблеми</a:t>
          </a:r>
        </a:p>
      </xdr:txBody>
    </xdr:sp>
    <xdr:clientData/>
  </xdr:twoCellAnchor>
  <xdr:twoCellAnchor>
    <xdr:from>
      <xdr:col>5</xdr:col>
      <xdr:colOff>102476</xdr:colOff>
      <xdr:row>15</xdr:row>
      <xdr:rowOff>152402</xdr:rowOff>
    </xdr:from>
    <xdr:to>
      <xdr:col>6</xdr:col>
      <xdr:colOff>554421</xdr:colOff>
      <xdr:row>16</xdr:row>
      <xdr:rowOff>173423</xdr:rowOff>
    </xdr:to>
    <xdr:sp macro="" textlink="">
      <xdr:nvSpPr>
        <xdr:cNvPr id="14" name="Rounded Rectangle 13"/>
        <xdr:cNvSpPr/>
      </xdr:nvSpPr>
      <xdr:spPr>
        <a:xfrm>
          <a:off x="4070131" y="2543505"/>
          <a:ext cx="1061545" cy="2049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Чувства</a:t>
          </a:r>
        </a:p>
      </xdr:txBody>
    </xdr:sp>
    <xdr:clientData/>
  </xdr:twoCellAnchor>
  <xdr:twoCellAnchor>
    <xdr:from>
      <xdr:col>7</xdr:col>
      <xdr:colOff>212834</xdr:colOff>
      <xdr:row>5</xdr:row>
      <xdr:rowOff>149774</xdr:rowOff>
    </xdr:from>
    <xdr:to>
      <xdr:col>9</xdr:col>
      <xdr:colOff>55179</xdr:colOff>
      <xdr:row>6</xdr:row>
      <xdr:rowOff>170795</xdr:rowOff>
    </xdr:to>
    <xdr:sp macro="" textlink="">
      <xdr:nvSpPr>
        <xdr:cNvPr id="15" name="Rounded Rectangle 14"/>
        <xdr:cNvSpPr/>
      </xdr:nvSpPr>
      <xdr:spPr>
        <a:xfrm>
          <a:off x="5400296" y="1058312"/>
          <a:ext cx="1061545" cy="20272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Учене</a:t>
          </a:r>
        </a:p>
      </xdr:txBody>
    </xdr:sp>
    <xdr:clientData/>
  </xdr:twoCellAnchor>
  <xdr:twoCellAnchor>
    <xdr:from>
      <xdr:col>0</xdr:col>
      <xdr:colOff>160283</xdr:colOff>
      <xdr:row>8</xdr:row>
      <xdr:rowOff>65691</xdr:rowOff>
    </xdr:from>
    <xdr:to>
      <xdr:col>2</xdr:col>
      <xdr:colOff>2628</xdr:colOff>
      <xdr:row>10</xdr:row>
      <xdr:rowOff>36787</xdr:rowOff>
    </xdr:to>
    <xdr:sp macro="" textlink="">
      <xdr:nvSpPr>
        <xdr:cNvPr id="16" name="Rounded Rectangle 15"/>
        <xdr:cNvSpPr/>
      </xdr:nvSpPr>
      <xdr:spPr>
        <a:xfrm>
          <a:off x="160283" y="1537139"/>
          <a:ext cx="1061545" cy="3389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Адаптивно</a:t>
          </a:r>
          <a:r>
            <a:rPr lang="bg-BG" sz="1100" baseline="0"/>
            <a:t> мислене</a:t>
          </a:r>
          <a:endParaRPr lang="bg-BG" sz="1100"/>
        </a:p>
      </xdr:txBody>
    </xdr:sp>
    <xdr:clientData/>
  </xdr:twoCellAnchor>
  <xdr:twoCellAnchor>
    <xdr:from>
      <xdr:col>11</xdr:col>
      <xdr:colOff>289035</xdr:colOff>
      <xdr:row>16</xdr:row>
      <xdr:rowOff>73573</xdr:rowOff>
    </xdr:from>
    <xdr:to>
      <xdr:col>12</xdr:col>
      <xdr:colOff>94593</xdr:colOff>
      <xdr:row>16</xdr:row>
      <xdr:rowOff>73573</xdr:rowOff>
    </xdr:to>
    <xdr:cxnSp macro="">
      <xdr:nvCxnSpPr>
        <xdr:cNvPr id="17" name="Straight Arrow Connector 16"/>
        <xdr:cNvCxnSpPr/>
      </xdr:nvCxnSpPr>
      <xdr:spPr>
        <a:xfrm>
          <a:off x="7914290" y="2648607"/>
          <a:ext cx="4151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204952</xdr:colOff>
      <xdr:row>16</xdr:row>
      <xdr:rowOff>73573</xdr:rowOff>
    </xdr:from>
    <xdr:to>
      <xdr:col>1</xdr:col>
      <xdr:colOff>10510</xdr:colOff>
      <xdr:row>16</xdr:row>
      <xdr:rowOff>73573</xdr:rowOff>
    </xdr:to>
    <xdr:cxnSp macro="">
      <xdr:nvCxnSpPr>
        <xdr:cNvPr id="18" name="Straight Arrow Connector 17"/>
        <xdr:cNvCxnSpPr/>
      </xdr:nvCxnSpPr>
      <xdr:spPr>
        <a:xfrm>
          <a:off x="204952" y="2648607"/>
          <a:ext cx="41515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750278</xdr:colOff>
      <xdr:row>9</xdr:row>
      <xdr:rowOff>5862</xdr:rowOff>
    </xdr:from>
    <xdr:to>
      <xdr:col>4</xdr:col>
      <xdr:colOff>759242</xdr:colOff>
      <xdr:row>13</xdr:row>
      <xdr:rowOff>130328</xdr:rowOff>
    </xdr:to>
    <xdr:cxnSp macro="">
      <xdr:nvCxnSpPr>
        <xdr:cNvPr id="21" name="Straight Arrow Connector 20"/>
        <xdr:cNvCxnSpPr>
          <a:stCxn id="2" idx="0"/>
        </xdr:cNvCxnSpPr>
      </xdr:nvCxnSpPr>
      <xdr:spPr>
        <a:xfrm rot="16200000" flipV="1">
          <a:off x="2767511" y="2062398"/>
          <a:ext cx="851297" cy="8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599089</xdr:colOff>
      <xdr:row>10</xdr:row>
      <xdr:rowOff>69330</xdr:rowOff>
    </xdr:from>
    <xdr:to>
      <xdr:col>9</xdr:col>
      <xdr:colOff>278524</xdr:colOff>
      <xdr:row>12</xdr:row>
      <xdr:rowOff>27287</xdr:rowOff>
    </xdr:to>
    <xdr:sp macro="" textlink="">
      <xdr:nvSpPr>
        <xdr:cNvPr id="19" name="Rounded Rectangle 18"/>
        <xdr:cNvSpPr/>
      </xdr:nvSpPr>
      <xdr:spPr>
        <a:xfrm>
          <a:off x="5176951" y="1886407"/>
          <a:ext cx="1508235" cy="32137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Вселена</a:t>
          </a:r>
        </a:p>
      </xdr:txBody>
    </xdr:sp>
    <xdr:clientData/>
  </xdr:twoCellAnchor>
  <xdr:twoCellAnchor>
    <xdr:from>
      <xdr:col>6</xdr:col>
      <xdr:colOff>433753</xdr:colOff>
      <xdr:row>12</xdr:row>
      <xdr:rowOff>93785</xdr:rowOff>
    </xdr:from>
    <xdr:to>
      <xdr:col>8</xdr:col>
      <xdr:colOff>41030</xdr:colOff>
      <xdr:row>15</xdr:row>
      <xdr:rowOff>82062</xdr:rowOff>
    </xdr:to>
    <xdr:cxnSp macro="">
      <xdr:nvCxnSpPr>
        <xdr:cNvPr id="29" name="Straight Arrow Connector 28"/>
        <xdr:cNvCxnSpPr/>
      </xdr:nvCxnSpPr>
      <xdr:spPr>
        <a:xfrm flipV="1">
          <a:off x="5011615" y="2274277"/>
          <a:ext cx="826477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141889</xdr:colOff>
      <xdr:row>21</xdr:row>
      <xdr:rowOff>22435</xdr:rowOff>
    </xdr:from>
    <xdr:to>
      <xdr:col>3</xdr:col>
      <xdr:colOff>430924</xdr:colOff>
      <xdr:row>22</xdr:row>
      <xdr:rowOff>162102</xdr:rowOff>
    </xdr:to>
    <xdr:sp macro="" textlink="">
      <xdr:nvSpPr>
        <xdr:cNvPr id="22" name="Rounded Rectangle 21"/>
        <xdr:cNvSpPr/>
      </xdr:nvSpPr>
      <xdr:spPr>
        <a:xfrm>
          <a:off x="751489" y="3838297"/>
          <a:ext cx="1508235" cy="3213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bg-BG" sz="1100"/>
            <a:t>Огледало/ Реалност</a:t>
          </a:r>
        </a:p>
      </xdr:txBody>
    </xdr:sp>
    <xdr:clientData/>
  </xdr:twoCellAnchor>
  <xdr:twoCellAnchor>
    <xdr:from>
      <xdr:col>2</xdr:col>
      <xdr:colOff>274699</xdr:colOff>
      <xdr:row>17</xdr:row>
      <xdr:rowOff>94578</xdr:rowOff>
    </xdr:from>
    <xdr:to>
      <xdr:col>2</xdr:col>
      <xdr:colOff>276287</xdr:colOff>
      <xdr:row>20</xdr:row>
      <xdr:rowOff>141470</xdr:rowOff>
    </xdr:to>
    <xdr:cxnSp macro="">
      <xdr:nvCxnSpPr>
        <xdr:cNvPr id="25" name="Straight Arrow Connector 24"/>
        <xdr:cNvCxnSpPr/>
      </xdr:nvCxnSpPr>
      <xdr:spPr>
        <a:xfrm rot="5400000">
          <a:off x="1198685" y="3478823"/>
          <a:ext cx="592015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293496</xdr:colOff>
      <xdr:row>9</xdr:row>
      <xdr:rowOff>48091</xdr:rowOff>
    </xdr:from>
    <xdr:to>
      <xdr:col>3</xdr:col>
      <xdr:colOff>295084</xdr:colOff>
      <xdr:row>10</xdr:row>
      <xdr:rowOff>168959</xdr:rowOff>
    </xdr:to>
    <xdr:cxnSp macro="">
      <xdr:nvCxnSpPr>
        <xdr:cNvPr id="3" name="Straight Arrow Connector 2"/>
        <xdr:cNvCxnSpPr/>
      </xdr:nvCxnSpPr>
      <xdr:spPr>
        <a:xfrm rot="5400000">
          <a:off x="1970690" y="2774731"/>
          <a:ext cx="304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293496</xdr:colOff>
      <xdr:row>24</xdr:row>
      <xdr:rowOff>48091</xdr:rowOff>
    </xdr:from>
    <xdr:to>
      <xdr:col>3</xdr:col>
      <xdr:colOff>295084</xdr:colOff>
      <xdr:row>25</xdr:row>
      <xdr:rowOff>168959</xdr:rowOff>
    </xdr:to>
    <xdr:cxnSp macro="">
      <xdr:nvCxnSpPr>
        <xdr:cNvPr id="4" name="Straight Arrow Connector 3"/>
        <xdr:cNvCxnSpPr/>
      </xdr:nvCxnSpPr>
      <xdr:spPr>
        <a:xfrm rot="5400000">
          <a:off x="1970690" y="2774731"/>
          <a:ext cx="3048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73"/>
  <sheetViews>
    <sheetView topLeftCell="A418" zoomScale="145" zoomScaleNormal="145" workbookViewId="0"/>
  </sheetViews>
  <sheetFormatPr defaultRowHeight="14.4"/>
  <cols>
    <col min="1" max="1" width="8.88671875" customWidth="1"/>
  </cols>
  <sheetData>
    <row r="1" spans="1:14">
      <c r="C1" t="s">
        <v>57</v>
      </c>
    </row>
    <row r="3" spans="1:14">
      <c r="B3" t="s">
        <v>242</v>
      </c>
      <c r="F3" s="18"/>
      <c r="J3" s="7"/>
      <c r="K3" s="7"/>
      <c r="L3" s="7"/>
      <c r="N3" t="s">
        <v>419</v>
      </c>
    </row>
    <row r="4" spans="1:14">
      <c r="F4" t="s">
        <v>418</v>
      </c>
      <c r="J4" s="2" t="s">
        <v>295</v>
      </c>
      <c r="K4" s="5"/>
      <c r="L4" s="6" t="s">
        <v>134</v>
      </c>
    </row>
    <row r="5" spans="1:14">
      <c r="E5" t="s">
        <v>196</v>
      </c>
      <c r="F5" t="s">
        <v>294</v>
      </c>
      <c r="J5" s="3" t="s">
        <v>46</v>
      </c>
      <c r="K5" s="7"/>
      <c r="L5" s="8"/>
    </row>
    <row r="6" spans="1:14">
      <c r="J6" s="3" t="s">
        <v>43</v>
      </c>
      <c r="K6" s="7"/>
      <c r="L6" s="8"/>
      <c r="M6" s="7"/>
    </row>
    <row r="7" spans="1:14">
      <c r="D7" s="21" t="s">
        <v>197</v>
      </c>
      <c r="J7" s="3" t="s">
        <v>77</v>
      </c>
      <c r="K7" s="7"/>
      <c r="L7" s="8"/>
      <c r="M7" s="7"/>
    </row>
    <row r="8" spans="1:14">
      <c r="D8" s="7"/>
      <c r="J8" s="3" t="s">
        <v>92</v>
      </c>
      <c r="K8" s="7"/>
      <c r="L8" s="8"/>
      <c r="M8" s="7"/>
    </row>
    <row r="9" spans="1:14">
      <c r="C9" s="16" t="s">
        <v>340</v>
      </c>
      <c r="E9" s="26" t="s">
        <v>6</v>
      </c>
      <c r="F9" s="7"/>
      <c r="H9" s="7"/>
      <c r="J9" s="4" t="s">
        <v>195</v>
      </c>
      <c r="K9" s="10"/>
      <c r="L9" s="11"/>
      <c r="M9" s="7"/>
    </row>
    <row r="10" spans="1:14">
      <c r="C10" t="s">
        <v>307</v>
      </c>
      <c r="H10" s="7"/>
      <c r="M10" s="7"/>
    </row>
    <row r="11" spans="1:14">
      <c r="C11" t="s">
        <v>198</v>
      </c>
      <c r="G11" s="12"/>
      <c r="H11" s="7"/>
      <c r="I11" t="s">
        <v>524</v>
      </c>
    </row>
    <row r="12" spans="1:14">
      <c r="A12" s="3"/>
      <c r="C12" t="s">
        <v>416</v>
      </c>
      <c r="D12" t="s">
        <v>134</v>
      </c>
      <c r="F12" s="18" t="s">
        <v>74</v>
      </c>
      <c r="G12" s="19" t="s">
        <v>177</v>
      </c>
      <c r="I12" s="24" t="s">
        <v>521</v>
      </c>
      <c r="J12" s="24" t="s">
        <v>522</v>
      </c>
      <c r="K12" s="24" t="s">
        <v>523</v>
      </c>
      <c r="L12" s="24"/>
      <c r="M12" s="24"/>
      <c r="N12" s="24"/>
    </row>
    <row r="13" spans="1:14">
      <c r="A13" s="3"/>
      <c r="C13" t="s">
        <v>417</v>
      </c>
      <c r="D13" t="s">
        <v>134</v>
      </c>
      <c r="F13" s="18"/>
      <c r="G13" s="19"/>
      <c r="N13" s="25"/>
    </row>
    <row r="14" spans="1:14">
      <c r="A14" s="3"/>
      <c r="C14" t="s">
        <v>592</v>
      </c>
      <c r="D14" t="s">
        <v>134</v>
      </c>
    </row>
    <row r="15" spans="1:14">
      <c r="C15" s="44"/>
      <c r="D15" s="47" t="s">
        <v>42</v>
      </c>
      <c r="E15" s="46"/>
      <c r="G15" s="2"/>
      <c r="H15" s="5"/>
      <c r="I15" s="6"/>
    </row>
    <row r="16" spans="1:14">
      <c r="C16" s="3"/>
      <c r="E16" s="8"/>
      <c r="G16" s="15" t="s">
        <v>56</v>
      </c>
      <c r="H16" s="7"/>
      <c r="I16" s="8"/>
    </row>
    <row r="17" spans="1:15">
      <c r="C17" s="3"/>
      <c r="D17" s="7"/>
      <c r="E17" s="8"/>
      <c r="G17" s="3"/>
      <c r="H17" s="7"/>
      <c r="I17" s="8"/>
      <c r="K17" t="s">
        <v>178</v>
      </c>
    </row>
    <row r="18" spans="1:15">
      <c r="C18" s="42" t="s">
        <v>0</v>
      </c>
      <c r="D18" s="9" t="s">
        <v>4</v>
      </c>
      <c r="E18" s="55" t="s">
        <v>1</v>
      </c>
      <c r="F18" s="1" t="s">
        <v>4</v>
      </c>
      <c r="G18" s="3" t="s">
        <v>2</v>
      </c>
      <c r="H18" s="13" t="s">
        <v>4</v>
      </c>
      <c r="I18" s="8" t="s">
        <v>3</v>
      </c>
      <c r="J18" s="1" t="s">
        <v>4</v>
      </c>
      <c r="K18" t="s">
        <v>5</v>
      </c>
    </row>
    <row r="19" spans="1:15">
      <c r="C19" s="3" t="s">
        <v>622</v>
      </c>
      <c r="D19" s="7"/>
      <c r="E19" s="8" t="s">
        <v>341</v>
      </c>
      <c r="G19" s="3"/>
      <c r="H19" s="7"/>
      <c r="I19" s="8"/>
    </row>
    <row r="20" spans="1:15">
      <c r="C20" s="3" t="s">
        <v>623</v>
      </c>
      <c r="D20" t="s">
        <v>240</v>
      </c>
      <c r="E20" s="8"/>
      <c r="G20" s="3"/>
      <c r="H20" s="56" t="s">
        <v>258</v>
      </c>
      <c r="I20" s="8" t="s">
        <v>44</v>
      </c>
      <c r="K20" s="41" t="s">
        <v>505</v>
      </c>
    </row>
    <row r="21" spans="1:15">
      <c r="C21" s="3"/>
      <c r="D21" s="7" t="s">
        <v>296</v>
      </c>
      <c r="E21" s="8"/>
      <c r="G21" s="3"/>
      <c r="H21" s="7"/>
      <c r="I21" s="8" t="s">
        <v>45</v>
      </c>
      <c r="K21" t="s">
        <v>502</v>
      </c>
    </row>
    <row r="22" spans="1:15">
      <c r="C22" s="3"/>
      <c r="E22" s="8"/>
      <c r="G22" s="3"/>
      <c r="H22" s="7"/>
      <c r="I22" s="8"/>
      <c r="K22" s="29" t="s">
        <v>503</v>
      </c>
    </row>
    <row r="23" spans="1:15">
      <c r="C23" s="3"/>
      <c r="E23" s="8"/>
      <c r="G23" s="3"/>
      <c r="H23" s="7"/>
      <c r="I23" s="8" t="s">
        <v>239</v>
      </c>
      <c r="K23" t="s">
        <v>504</v>
      </c>
    </row>
    <row r="24" spans="1:15">
      <c r="C24" s="4"/>
      <c r="D24" s="10"/>
      <c r="E24" s="11"/>
      <c r="G24" s="4"/>
      <c r="H24" s="10"/>
      <c r="I24" s="11"/>
    </row>
    <row r="25" spans="1:15">
      <c r="C25" s="44"/>
      <c r="D25" s="45" t="s">
        <v>520</v>
      </c>
      <c r="E25" s="46"/>
    </row>
    <row r="26" spans="1:15">
      <c r="F26" s="18" t="s">
        <v>293</v>
      </c>
      <c r="J26" s="24" t="s">
        <v>216</v>
      </c>
    </row>
    <row r="27" spans="1:15">
      <c r="H27" t="s">
        <v>297</v>
      </c>
      <c r="J27" s="7"/>
    </row>
    <row r="28" spans="1:15">
      <c r="J28" s="7"/>
    </row>
    <row r="29" spans="1:15">
      <c r="C29" t="s">
        <v>388</v>
      </c>
      <c r="E29" t="s">
        <v>387</v>
      </c>
    </row>
    <row r="30" spans="1:15">
      <c r="J30" s="2"/>
      <c r="K30" s="5"/>
      <c r="L30" s="5"/>
      <c r="M30" s="5"/>
      <c r="N30" s="5" t="s">
        <v>428</v>
      </c>
      <c r="O30" s="6" t="s">
        <v>429</v>
      </c>
    </row>
    <row r="31" spans="1:15">
      <c r="J31" s="3" t="s">
        <v>420</v>
      </c>
      <c r="K31" s="7"/>
      <c r="L31" s="7" t="s">
        <v>427</v>
      </c>
      <c r="M31" s="7"/>
      <c r="N31" s="7"/>
      <c r="O31" s="8"/>
    </row>
    <row r="32" spans="1:15">
      <c r="A32" s="16" t="s">
        <v>199</v>
      </c>
      <c r="J32" s="3"/>
      <c r="K32" s="7"/>
      <c r="L32" s="7"/>
      <c r="M32" s="7"/>
      <c r="N32" s="7"/>
      <c r="O32" s="8"/>
    </row>
    <row r="33" spans="2:15">
      <c r="J33" s="3" t="s">
        <v>421</v>
      </c>
      <c r="K33" s="7" t="s">
        <v>422</v>
      </c>
      <c r="L33" s="7" t="s">
        <v>423</v>
      </c>
      <c r="M33" s="7" t="s">
        <v>424</v>
      </c>
      <c r="N33" s="7" t="s">
        <v>425</v>
      </c>
      <c r="O33" s="8" t="s">
        <v>426</v>
      </c>
    </row>
    <row r="34" spans="2:15">
      <c r="B34" t="s">
        <v>798</v>
      </c>
      <c r="J34" s="3"/>
      <c r="K34" s="7"/>
      <c r="L34" s="7"/>
      <c r="M34" s="7"/>
      <c r="N34" s="7"/>
      <c r="O34" s="8"/>
    </row>
    <row r="35" spans="2:15">
      <c r="C35" t="s">
        <v>200</v>
      </c>
      <c r="J35" s="3"/>
      <c r="K35" s="7"/>
      <c r="L35" s="7"/>
      <c r="M35" s="7"/>
      <c r="N35" s="7"/>
      <c r="O35" s="8"/>
    </row>
    <row r="36" spans="2:15">
      <c r="C36" t="s">
        <v>201</v>
      </c>
      <c r="J36" s="4" t="s">
        <v>45</v>
      </c>
      <c r="K36" s="10"/>
      <c r="L36" s="10"/>
      <c r="M36" s="10"/>
      <c r="N36" s="10"/>
      <c r="O36" s="11"/>
    </row>
    <row r="37" spans="2:15">
      <c r="C37" t="s">
        <v>206</v>
      </c>
    </row>
    <row r="38" spans="2:15">
      <c r="D38" t="s">
        <v>202</v>
      </c>
    </row>
    <row r="39" spans="2:15">
      <c r="D39" t="s">
        <v>203</v>
      </c>
      <c r="H39" t="s">
        <v>525</v>
      </c>
    </row>
    <row r="40" spans="2:15">
      <c r="D40" t="s">
        <v>204</v>
      </c>
      <c r="H40" t="s">
        <v>526</v>
      </c>
    </row>
    <row r="41" spans="2:15">
      <c r="D41" t="s">
        <v>205</v>
      </c>
      <c r="H41" t="s">
        <v>530</v>
      </c>
    </row>
    <row r="42" spans="2:15">
      <c r="D42" t="s">
        <v>207</v>
      </c>
      <c r="H42" t="s">
        <v>531</v>
      </c>
    </row>
    <row r="43" spans="2:15">
      <c r="D43" t="s">
        <v>214</v>
      </c>
    </row>
    <row r="44" spans="2:15">
      <c r="D44" t="s">
        <v>208</v>
      </c>
    </row>
    <row r="45" spans="2:15">
      <c r="D45" t="s">
        <v>209</v>
      </c>
    </row>
    <row r="46" spans="2:15">
      <c r="D46" t="s">
        <v>210</v>
      </c>
    </row>
    <row r="47" spans="2:15">
      <c r="D47" t="s">
        <v>211</v>
      </c>
    </row>
    <row r="48" spans="2:15">
      <c r="D48" t="s">
        <v>212</v>
      </c>
    </row>
    <row r="49" spans="1:10">
      <c r="D49" t="s">
        <v>799</v>
      </c>
    </row>
    <row r="50" spans="1:10">
      <c r="C50" t="s">
        <v>215</v>
      </c>
    </row>
    <row r="51" spans="1:10">
      <c r="C51" t="s">
        <v>213</v>
      </c>
    </row>
    <row r="53" spans="1:10">
      <c r="A53" s="16" t="s">
        <v>241</v>
      </c>
      <c r="J53" s="7"/>
    </row>
    <row r="54" spans="1:10">
      <c r="B54" t="s">
        <v>58</v>
      </c>
    </row>
    <row r="55" spans="1:10">
      <c r="C55" t="s">
        <v>59</v>
      </c>
    </row>
    <row r="57" spans="1:10">
      <c r="B57" t="s">
        <v>60</v>
      </c>
    </row>
    <row r="58" spans="1:10">
      <c r="C58" t="s">
        <v>61</v>
      </c>
    </row>
    <row r="60" spans="1:10">
      <c r="B60" t="s">
        <v>62</v>
      </c>
    </row>
    <row r="61" spans="1:10">
      <c r="C61" t="s">
        <v>91</v>
      </c>
    </row>
    <row r="63" spans="1:10">
      <c r="B63" t="s">
        <v>63</v>
      </c>
    </row>
    <row r="64" spans="1:10">
      <c r="C64" t="s">
        <v>80</v>
      </c>
    </row>
    <row r="65" spans="2:4">
      <c r="D65" t="s">
        <v>78</v>
      </c>
    </row>
    <row r="66" spans="2:4">
      <c r="D66" t="s">
        <v>79</v>
      </c>
    </row>
    <row r="67" spans="2:4">
      <c r="D67" t="s">
        <v>81</v>
      </c>
    </row>
    <row r="68" spans="2:4">
      <c r="D68" t="s">
        <v>82</v>
      </c>
    </row>
    <row r="70" spans="2:4">
      <c r="B70" t="s">
        <v>83</v>
      </c>
    </row>
    <row r="71" spans="2:4">
      <c r="C71" t="s">
        <v>84</v>
      </c>
    </row>
    <row r="73" spans="2:4">
      <c r="B73" t="s">
        <v>85</v>
      </c>
    </row>
    <row r="74" spans="2:4">
      <c r="C74" t="s">
        <v>86</v>
      </c>
    </row>
    <row r="75" spans="2:4">
      <c r="C75" t="s">
        <v>87</v>
      </c>
    </row>
    <row r="77" spans="2:4">
      <c r="B77" t="s">
        <v>88</v>
      </c>
    </row>
    <row r="78" spans="2:4">
      <c r="C78" t="s">
        <v>89</v>
      </c>
    </row>
    <row r="79" spans="2:4">
      <c r="C79" t="s">
        <v>90</v>
      </c>
    </row>
    <row r="82" spans="1:3">
      <c r="A82" t="s">
        <v>7</v>
      </c>
    </row>
    <row r="83" spans="1:3">
      <c r="B83" t="s">
        <v>8</v>
      </c>
    </row>
    <row r="85" spans="1:3">
      <c r="B85" t="s">
        <v>9</v>
      </c>
    </row>
    <row r="86" spans="1:3">
      <c r="C86" t="s">
        <v>10</v>
      </c>
    </row>
    <row r="87" spans="1:3">
      <c r="C87" t="s">
        <v>11</v>
      </c>
    </row>
    <row r="89" spans="1:3">
      <c r="C89" t="s">
        <v>12</v>
      </c>
    </row>
    <row r="90" spans="1:3">
      <c r="C90" t="s">
        <v>13</v>
      </c>
    </row>
    <row r="93" spans="1:3">
      <c r="A93" t="s">
        <v>14</v>
      </c>
    </row>
    <row r="94" spans="1:3">
      <c r="B94" t="s">
        <v>15</v>
      </c>
    </row>
    <row r="95" spans="1:3">
      <c r="B95" t="s">
        <v>16</v>
      </c>
    </row>
    <row r="96" spans="1:3">
      <c r="B96" t="s">
        <v>9</v>
      </c>
    </row>
    <row r="97" spans="1:3">
      <c r="C97" t="s">
        <v>17</v>
      </c>
    </row>
    <row r="98" spans="1:3">
      <c r="C98" t="s">
        <v>18</v>
      </c>
    </row>
    <row r="100" spans="1:3">
      <c r="A100" t="s">
        <v>19</v>
      </c>
    </row>
    <row r="101" spans="1:3">
      <c r="B101" t="s">
        <v>21</v>
      </c>
    </row>
    <row r="102" spans="1:3">
      <c r="B102" t="s">
        <v>20</v>
      </c>
    </row>
    <row r="103" spans="1:3">
      <c r="B103" t="s">
        <v>22</v>
      </c>
    </row>
    <row r="105" spans="1:3">
      <c r="B105" t="s">
        <v>23</v>
      </c>
    </row>
    <row r="108" spans="1:3">
      <c r="A108" s="12" t="s">
        <v>24</v>
      </c>
    </row>
    <row r="109" spans="1:3">
      <c r="B109" t="s">
        <v>25</v>
      </c>
    </row>
    <row r="111" spans="1:3">
      <c r="B111" t="s">
        <v>26</v>
      </c>
    </row>
    <row r="112" spans="1:3">
      <c r="B112" t="s">
        <v>27</v>
      </c>
    </row>
    <row r="115" spans="1:3">
      <c r="A115" s="12" t="s">
        <v>28</v>
      </c>
    </row>
    <row r="117" spans="1:3">
      <c r="B117" s="12" t="s">
        <v>29</v>
      </c>
    </row>
    <row r="118" spans="1:3">
      <c r="B118" s="12"/>
      <c r="C118" t="s">
        <v>66</v>
      </c>
    </row>
    <row r="119" spans="1:3">
      <c r="B119" s="12"/>
      <c r="C119" t="s">
        <v>65</v>
      </c>
    </row>
    <row r="120" spans="1:3">
      <c r="C120" t="s">
        <v>30</v>
      </c>
    </row>
    <row r="121" spans="1:3">
      <c r="C121" t="s">
        <v>31</v>
      </c>
    </row>
    <row r="122" spans="1:3">
      <c r="C122" t="s">
        <v>32</v>
      </c>
    </row>
    <row r="123" spans="1:3">
      <c r="C123" t="s">
        <v>113</v>
      </c>
    </row>
    <row r="125" spans="1:3">
      <c r="B125" s="12" t="s">
        <v>33</v>
      </c>
    </row>
    <row r="126" spans="1:3">
      <c r="C126" t="s">
        <v>34</v>
      </c>
    </row>
    <row r="127" spans="1:3">
      <c r="C127" t="s">
        <v>35</v>
      </c>
    </row>
    <row r="128" spans="1:3">
      <c r="C128" t="s">
        <v>36</v>
      </c>
    </row>
    <row r="129" spans="2:9">
      <c r="C129" t="s">
        <v>37</v>
      </c>
    </row>
    <row r="130" spans="2:9">
      <c r="C130" t="s">
        <v>40</v>
      </c>
    </row>
    <row r="131" spans="2:9">
      <c r="C131" t="s">
        <v>64</v>
      </c>
    </row>
    <row r="132" spans="2:9">
      <c r="C132" t="s">
        <v>67</v>
      </c>
    </row>
    <row r="133" spans="2:9">
      <c r="C133" t="s">
        <v>114</v>
      </c>
    </row>
    <row r="135" spans="2:9">
      <c r="B135" t="s">
        <v>38</v>
      </c>
    </row>
    <row r="136" spans="2:9">
      <c r="B136" t="s">
        <v>39</v>
      </c>
    </row>
    <row r="138" spans="2:9">
      <c r="B138" t="s">
        <v>41</v>
      </c>
    </row>
    <row r="141" spans="2:9">
      <c r="B141" s="14" t="s">
        <v>9</v>
      </c>
    </row>
    <row r="142" spans="2:9">
      <c r="C142" t="s">
        <v>47</v>
      </c>
    </row>
    <row r="143" spans="2:9">
      <c r="C143" t="s">
        <v>48</v>
      </c>
      <c r="I143" s="14" t="s">
        <v>55</v>
      </c>
    </row>
    <row r="144" spans="2:9">
      <c r="C144" t="s">
        <v>49</v>
      </c>
      <c r="I144" t="s">
        <v>52</v>
      </c>
    </row>
    <row r="145" spans="1:9">
      <c r="C145" t="s">
        <v>50</v>
      </c>
      <c r="I145" t="s">
        <v>54</v>
      </c>
    </row>
    <row r="146" spans="1:9">
      <c r="C146" t="s">
        <v>51</v>
      </c>
      <c r="I146" t="s">
        <v>53</v>
      </c>
    </row>
    <row r="149" spans="1:9">
      <c r="B149" s="16" t="s">
        <v>68</v>
      </c>
    </row>
    <row r="151" spans="1:9">
      <c r="B151" t="s">
        <v>69</v>
      </c>
    </row>
    <row r="152" spans="1:9">
      <c r="B152" t="s">
        <v>70</v>
      </c>
    </row>
    <row r="153" spans="1:9">
      <c r="B153" t="s">
        <v>71</v>
      </c>
    </row>
    <row r="154" spans="1:9">
      <c r="C154" t="s">
        <v>72</v>
      </c>
    </row>
    <row r="156" spans="1:9">
      <c r="B156" s="16" t="s">
        <v>73</v>
      </c>
    </row>
    <row r="157" spans="1:9">
      <c r="B157" s="17"/>
      <c r="C157" t="s">
        <v>93</v>
      </c>
    </row>
    <row r="159" spans="1:9">
      <c r="A159" s="16" t="s">
        <v>75</v>
      </c>
    </row>
    <row r="160" spans="1:9">
      <c r="B160" t="s">
        <v>76</v>
      </c>
    </row>
    <row r="164" spans="1:3">
      <c r="A164" s="16" t="s">
        <v>94</v>
      </c>
    </row>
    <row r="165" spans="1:3">
      <c r="B165" t="s">
        <v>95</v>
      </c>
    </row>
    <row r="166" spans="1:3">
      <c r="B166" t="s">
        <v>96</v>
      </c>
    </row>
    <row r="167" spans="1:3">
      <c r="B167" t="s">
        <v>97</v>
      </c>
    </row>
    <row r="169" spans="1:3">
      <c r="B169" t="s">
        <v>98</v>
      </c>
    </row>
    <row r="171" spans="1:3">
      <c r="A171" s="16" t="s">
        <v>99</v>
      </c>
    </row>
    <row r="172" spans="1:3">
      <c r="B172" t="s">
        <v>100</v>
      </c>
    </row>
    <row r="173" spans="1:3">
      <c r="C173" t="s">
        <v>101</v>
      </c>
    </row>
    <row r="174" spans="1:3">
      <c r="B174" t="s">
        <v>102</v>
      </c>
    </row>
    <row r="176" spans="1:3">
      <c r="B176" t="s">
        <v>103</v>
      </c>
    </row>
    <row r="179" spans="1:3">
      <c r="B179" s="16" t="s">
        <v>104</v>
      </c>
    </row>
    <row r="180" spans="1:3">
      <c r="B180" t="s">
        <v>105</v>
      </c>
    </row>
    <row r="181" spans="1:3">
      <c r="B181" t="s">
        <v>106</v>
      </c>
    </row>
    <row r="182" spans="1:3">
      <c r="B182" t="s">
        <v>107</v>
      </c>
    </row>
    <row r="184" spans="1:3">
      <c r="B184" s="16" t="s">
        <v>108</v>
      </c>
    </row>
    <row r="185" spans="1:3">
      <c r="C185" t="s">
        <v>109</v>
      </c>
    </row>
    <row r="186" spans="1:3">
      <c r="C186" t="s">
        <v>110</v>
      </c>
    </row>
    <row r="187" spans="1:3">
      <c r="C187" t="s">
        <v>111</v>
      </c>
    </row>
    <row r="188" spans="1:3">
      <c r="C188" t="s">
        <v>112</v>
      </c>
    </row>
    <row r="191" spans="1:3">
      <c r="A191" s="16" t="s">
        <v>115</v>
      </c>
    </row>
    <row r="193" spans="2:3">
      <c r="B193" t="s">
        <v>122</v>
      </c>
    </row>
    <row r="194" spans="2:3">
      <c r="C194" t="s">
        <v>119</v>
      </c>
    </row>
    <row r="195" spans="2:3">
      <c r="C195" t="s">
        <v>120</v>
      </c>
    </row>
    <row r="196" spans="2:3">
      <c r="C196" t="s">
        <v>121</v>
      </c>
    </row>
    <row r="197" spans="2:3">
      <c r="C197" t="s">
        <v>128</v>
      </c>
    </row>
    <row r="199" spans="2:3">
      <c r="B199" t="s">
        <v>123</v>
      </c>
    </row>
    <row r="200" spans="2:3">
      <c r="C200" t="s">
        <v>124</v>
      </c>
    </row>
    <row r="201" spans="2:3">
      <c r="C201" t="s">
        <v>125</v>
      </c>
    </row>
    <row r="202" spans="2:3">
      <c r="C202" t="s">
        <v>126</v>
      </c>
    </row>
    <row r="203" spans="2:3">
      <c r="C203" t="s">
        <v>127</v>
      </c>
    </row>
    <row r="205" spans="2:3">
      <c r="B205" t="s">
        <v>116</v>
      </c>
    </row>
    <row r="206" spans="2:3">
      <c r="C206" s="31" t="s">
        <v>117</v>
      </c>
    </row>
    <row r="207" spans="2:3">
      <c r="C207" s="31" t="s">
        <v>118</v>
      </c>
    </row>
    <row r="209" spans="1:4">
      <c r="B209" s="16" t="s">
        <v>108</v>
      </c>
    </row>
    <row r="210" spans="1:4">
      <c r="C210" t="s">
        <v>129</v>
      </c>
    </row>
    <row r="211" spans="1:4">
      <c r="C211" t="s">
        <v>130</v>
      </c>
    </row>
    <row r="213" spans="1:4">
      <c r="C213" t="s">
        <v>131</v>
      </c>
    </row>
    <row r="214" spans="1:4">
      <c r="D214" t="s">
        <v>132</v>
      </c>
    </row>
    <row r="215" spans="1:4">
      <c r="D215" t="s">
        <v>133</v>
      </c>
    </row>
    <row r="217" spans="1:4">
      <c r="A217" s="16" t="s">
        <v>135</v>
      </c>
    </row>
    <row r="218" spans="1:4">
      <c r="B218" t="s">
        <v>136</v>
      </c>
    </row>
    <row r="219" spans="1:4">
      <c r="C219" t="s">
        <v>137</v>
      </c>
    </row>
    <row r="220" spans="1:4">
      <c r="C220" t="s">
        <v>138</v>
      </c>
    </row>
    <row r="221" spans="1:4">
      <c r="C221" t="s">
        <v>139</v>
      </c>
    </row>
    <row r="223" spans="1:4">
      <c r="B223" t="s">
        <v>140</v>
      </c>
    </row>
    <row r="224" spans="1:4">
      <c r="C224" t="s">
        <v>141</v>
      </c>
    </row>
    <row r="225" spans="1:3">
      <c r="C225" t="s">
        <v>142</v>
      </c>
    </row>
    <row r="226" spans="1:3">
      <c r="C226" t="s">
        <v>143</v>
      </c>
    </row>
    <row r="228" spans="1:3">
      <c r="B228" t="s">
        <v>144</v>
      </c>
    </row>
    <row r="229" spans="1:3">
      <c r="C229" t="s">
        <v>145</v>
      </c>
    </row>
    <row r="230" spans="1:3">
      <c r="C230" t="s">
        <v>146</v>
      </c>
    </row>
    <row r="232" spans="1:3">
      <c r="A232" s="16" t="s">
        <v>147</v>
      </c>
    </row>
    <row r="234" spans="1:3">
      <c r="B234" s="16" t="s">
        <v>148</v>
      </c>
    </row>
    <row r="235" spans="1:3">
      <c r="B235" t="s">
        <v>149</v>
      </c>
    </row>
    <row r="236" spans="1:3">
      <c r="B236" t="s">
        <v>150</v>
      </c>
    </row>
    <row r="237" spans="1:3">
      <c r="B237" t="s">
        <v>152</v>
      </c>
    </row>
    <row r="238" spans="1:3">
      <c r="B238" t="s">
        <v>151</v>
      </c>
    </row>
    <row r="240" spans="1:3">
      <c r="B240" s="16" t="s">
        <v>153</v>
      </c>
    </row>
    <row r="241" spans="1:2">
      <c r="B241" t="s">
        <v>154</v>
      </c>
    </row>
    <row r="242" spans="1:2">
      <c r="B242" t="s">
        <v>155</v>
      </c>
    </row>
    <row r="243" spans="1:2">
      <c r="B243" t="s">
        <v>156</v>
      </c>
    </row>
    <row r="244" spans="1:2">
      <c r="B244" t="s">
        <v>157</v>
      </c>
    </row>
    <row r="246" spans="1:2">
      <c r="B246" t="s">
        <v>158</v>
      </c>
    </row>
    <row r="248" spans="1:2">
      <c r="B248" s="16" t="s">
        <v>159</v>
      </c>
    </row>
    <row r="249" spans="1:2">
      <c r="B249" t="s">
        <v>160</v>
      </c>
    </row>
    <row r="250" spans="1:2">
      <c r="B250" t="s">
        <v>161</v>
      </c>
    </row>
    <row r="251" spans="1:2">
      <c r="B251" t="s">
        <v>162</v>
      </c>
    </row>
    <row r="253" spans="1:2">
      <c r="B253" t="s">
        <v>163</v>
      </c>
    </row>
    <row r="256" spans="1:2">
      <c r="A256" s="16" t="s">
        <v>164</v>
      </c>
    </row>
    <row r="257" spans="2:2">
      <c r="B257" s="16" t="s">
        <v>166</v>
      </c>
    </row>
    <row r="258" spans="2:2">
      <c r="B258" t="s">
        <v>165</v>
      </c>
    </row>
    <row r="259" spans="2:2">
      <c r="B259" t="s">
        <v>169</v>
      </c>
    </row>
    <row r="261" spans="2:2">
      <c r="B261" s="16" t="s">
        <v>167</v>
      </c>
    </row>
    <row r="262" spans="2:2">
      <c r="B262" t="s">
        <v>168</v>
      </c>
    </row>
    <row r="263" spans="2:2">
      <c r="B263" t="s">
        <v>170</v>
      </c>
    </row>
    <row r="264" spans="2:2">
      <c r="B264" t="s">
        <v>171</v>
      </c>
    </row>
    <row r="266" spans="2:2">
      <c r="B266" s="16" t="s">
        <v>172</v>
      </c>
    </row>
    <row r="267" spans="2:2">
      <c r="B267" t="s">
        <v>173</v>
      </c>
    </row>
    <row r="268" spans="2:2">
      <c r="B268" t="s">
        <v>174</v>
      </c>
    </row>
    <row r="269" spans="2:2">
      <c r="B269" t="s">
        <v>175</v>
      </c>
    </row>
    <row r="271" spans="2:2">
      <c r="B271" t="s">
        <v>176</v>
      </c>
    </row>
    <row r="273" spans="1:2">
      <c r="A273" s="16" t="s">
        <v>179</v>
      </c>
    </row>
    <row r="274" spans="1:2">
      <c r="B274" s="16" t="s">
        <v>180</v>
      </c>
    </row>
    <row r="275" spans="1:2">
      <c r="B275" t="s">
        <v>181</v>
      </c>
    </row>
    <row r="276" spans="1:2">
      <c r="B276" t="s">
        <v>182</v>
      </c>
    </row>
    <row r="277" spans="1:2">
      <c r="B277" t="s">
        <v>183</v>
      </c>
    </row>
    <row r="278" spans="1:2">
      <c r="B278" t="s">
        <v>184</v>
      </c>
    </row>
    <row r="280" spans="1:2">
      <c r="B280" s="16" t="s">
        <v>185</v>
      </c>
    </row>
    <row r="281" spans="1:2">
      <c r="B281" t="s">
        <v>186</v>
      </c>
    </row>
    <row r="282" spans="1:2">
      <c r="B282" t="s">
        <v>187</v>
      </c>
    </row>
    <row r="283" spans="1:2">
      <c r="B283" t="s">
        <v>188</v>
      </c>
    </row>
    <row r="285" spans="1:2">
      <c r="B285" s="16" t="s">
        <v>159</v>
      </c>
    </row>
    <row r="286" spans="1:2">
      <c r="B286" t="s">
        <v>189</v>
      </c>
    </row>
    <row r="287" spans="1:2">
      <c r="B287" t="s">
        <v>190</v>
      </c>
    </row>
    <row r="288" spans="1:2">
      <c r="B288" t="s">
        <v>191</v>
      </c>
    </row>
    <row r="290" spans="1:2">
      <c r="B290" s="16" t="s">
        <v>192</v>
      </c>
    </row>
    <row r="291" spans="1:2">
      <c r="B291" s="20" t="s">
        <v>193</v>
      </c>
    </row>
    <row r="292" spans="1:2">
      <c r="B292" s="20" t="s">
        <v>194</v>
      </c>
    </row>
    <row r="295" spans="1:2">
      <c r="A295" s="16" t="s">
        <v>216</v>
      </c>
    </row>
    <row r="296" spans="1:2">
      <c r="A296" s="16"/>
      <c r="B296" s="16" t="s">
        <v>221</v>
      </c>
    </row>
    <row r="297" spans="1:2">
      <c r="A297" s="16"/>
      <c r="B297" t="s">
        <v>222</v>
      </c>
    </row>
    <row r="298" spans="1:2">
      <c r="A298" s="16"/>
      <c r="B298" t="s">
        <v>223</v>
      </c>
    </row>
    <row r="299" spans="1:2">
      <c r="A299" s="16"/>
      <c r="B299" t="s">
        <v>224</v>
      </c>
    </row>
    <row r="300" spans="1:2">
      <c r="A300" s="16"/>
    </row>
    <row r="301" spans="1:2">
      <c r="A301" s="16"/>
      <c r="B301" s="16" t="s">
        <v>225</v>
      </c>
    </row>
    <row r="302" spans="1:2">
      <c r="A302" s="16"/>
      <c r="B302" t="s">
        <v>226</v>
      </c>
    </row>
    <row r="303" spans="1:2">
      <c r="A303" s="16"/>
      <c r="B303" t="s">
        <v>227</v>
      </c>
    </row>
    <row r="304" spans="1:2">
      <c r="A304" s="16"/>
      <c r="B304" t="s">
        <v>228</v>
      </c>
    </row>
    <row r="305" spans="1:4">
      <c r="A305" s="16"/>
      <c r="B305" s="23" t="s">
        <v>229</v>
      </c>
    </row>
    <row r="306" spans="1:4">
      <c r="A306" s="16"/>
    </row>
    <row r="307" spans="1:4">
      <c r="A307" s="16"/>
      <c r="B307" s="16" t="s">
        <v>230</v>
      </c>
    </row>
    <row r="308" spans="1:4">
      <c r="A308" s="16"/>
      <c r="B308" s="23" t="s">
        <v>231</v>
      </c>
    </row>
    <row r="309" spans="1:4">
      <c r="A309" s="16"/>
      <c r="B309" s="23" t="s">
        <v>232</v>
      </c>
    </row>
    <row r="310" spans="1:4">
      <c r="A310" s="16"/>
      <c r="B310" s="23"/>
    </row>
    <row r="311" spans="1:4">
      <c r="A311" s="16"/>
      <c r="B311" s="16" t="s">
        <v>233</v>
      </c>
    </row>
    <row r="312" spans="1:4">
      <c r="B312" t="s">
        <v>217</v>
      </c>
    </row>
    <row r="313" spans="1:4">
      <c r="C313" t="s">
        <v>218</v>
      </c>
    </row>
    <row r="314" spans="1:4">
      <c r="C314" t="s">
        <v>220</v>
      </c>
    </row>
    <row r="315" spans="1:4">
      <c r="C315" t="s">
        <v>219</v>
      </c>
    </row>
    <row r="317" spans="1:4">
      <c r="B317" s="16" t="s">
        <v>234</v>
      </c>
      <c r="D317" s="22"/>
    </row>
    <row r="318" spans="1:4">
      <c r="B318" t="s">
        <v>235</v>
      </c>
    </row>
    <row r="319" spans="1:4">
      <c r="B319" t="s">
        <v>236</v>
      </c>
    </row>
    <row r="320" spans="1:4">
      <c r="B320" t="s">
        <v>237</v>
      </c>
    </row>
    <row r="321" spans="1:6">
      <c r="B321" t="s">
        <v>238</v>
      </c>
    </row>
    <row r="324" spans="1:6">
      <c r="A324" s="16" t="s">
        <v>243</v>
      </c>
    </row>
    <row r="325" spans="1:6">
      <c r="A325" s="16"/>
      <c r="B325" t="s">
        <v>298</v>
      </c>
    </row>
    <row r="326" spans="1:6">
      <c r="A326" s="16"/>
    </row>
    <row r="327" spans="1:6">
      <c r="A327" s="16"/>
      <c r="B327" t="s">
        <v>265</v>
      </c>
    </row>
    <row r="329" spans="1:6">
      <c r="B329" s="16" t="s">
        <v>244</v>
      </c>
      <c r="C329" s="16" t="s">
        <v>263</v>
      </c>
      <c r="D329" s="16" t="s">
        <v>246</v>
      </c>
      <c r="E329" s="27" t="s">
        <v>248</v>
      </c>
      <c r="F329" s="16" t="s">
        <v>3</v>
      </c>
    </row>
    <row r="330" spans="1:6">
      <c r="B330" t="s">
        <v>245</v>
      </c>
      <c r="C330">
        <v>4000</v>
      </c>
      <c r="D330" t="s">
        <v>247</v>
      </c>
      <c r="E330" t="s">
        <v>249</v>
      </c>
      <c r="F330" t="s">
        <v>250</v>
      </c>
    </row>
    <row r="331" spans="1:6">
      <c r="B331" t="s">
        <v>251</v>
      </c>
      <c r="C331">
        <v>8000</v>
      </c>
      <c r="D331" t="s">
        <v>252</v>
      </c>
      <c r="E331" t="s">
        <v>253</v>
      </c>
      <c r="F331" t="s">
        <v>254</v>
      </c>
    </row>
    <row r="332" spans="1:6">
      <c r="B332" t="s">
        <v>255</v>
      </c>
      <c r="C332">
        <v>4000</v>
      </c>
      <c r="D332" t="s">
        <v>256</v>
      </c>
      <c r="E332" s="28" t="s">
        <v>257</v>
      </c>
      <c r="F332" t="s">
        <v>256</v>
      </c>
    </row>
    <row r="333" spans="1:6">
      <c r="B333" t="s">
        <v>255</v>
      </c>
      <c r="C333">
        <v>4000</v>
      </c>
      <c r="D333" t="s">
        <v>259</v>
      </c>
      <c r="E333" s="28" t="s">
        <v>271</v>
      </c>
      <c r="F333" t="s">
        <v>260</v>
      </c>
    </row>
    <row r="334" spans="1:6">
      <c r="B334" t="s">
        <v>262</v>
      </c>
      <c r="C334" t="s">
        <v>264</v>
      </c>
      <c r="D334" t="s">
        <v>261</v>
      </c>
      <c r="E334" s="28" t="s">
        <v>272</v>
      </c>
      <c r="F334" t="s">
        <v>261</v>
      </c>
    </row>
    <row r="335" spans="1:6">
      <c r="C335" t="s">
        <v>264</v>
      </c>
      <c r="D335" t="s">
        <v>266</v>
      </c>
      <c r="E335" s="28" t="s">
        <v>267</v>
      </c>
      <c r="F335" t="s">
        <v>266</v>
      </c>
    </row>
    <row r="336" spans="1:6">
      <c r="C336" t="s">
        <v>264</v>
      </c>
      <c r="D336" t="s">
        <v>269</v>
      </c>
      <c r="E336" s="28" t="s">
        <v>270</v>
      </c>
      <c r="F336" t="s">
        <v>268</v>
      </c>
    </row>
    <row r="338" spans="1:3">
      <c r="A338" s="16" t="s">
        <v>273</v>
      </c>
    </row>
    <row r="339" spans="1:3">
      <c r="B339" t="s">
        <v>274</v>
      </c>
    </row>
    <row r="340" spans="1:3">
      <c r="C340" t="s">
        <v>275</v>
      </c>
    </row>
    <row r="341" spans="1:3">
      <c r="C341" t="s">
        <v>276</v>
      </c>
    </row>
    <row r="342" spans="1:3">
      <c r="C342" t="s">
        <v>277</v>
      </c>
    </row>
    <row r="344" spans="1:3">
      <c r="A344" s="16" t="s">
        <v>278</v>
      </c>
    </row>
    <row r="345" spans="1:3">
      <c r="A345" s="16"/>
    </row>
    <row r="346" spans="1:3">
      <c r="A346" s="16"/>
      <c r="B346" s="16" t="s">
        <v>288</v>
      </c>
    </row>
    <row r="347" spans="1:3">
      <c r="A347" s="16"/>
      <c r="B347" s="30" t="s">
        <v>289</v>
      </c>
    </row>
    <row r="348" spans="1:3">
      <c r="A348" s="16"/>
      <c r="B348" s="30" t="s">
        <v>290</v>
      </c>
    </row>
    <row r="349" spans="1:3">
      <c r="A349" s="16"/>
      <c r="B349" s="30" t="s">
        <v>291</v>
      </c>
    </row>
    <row r="350" spans="1:3">
      <c r="A350" s="16"/>
      <c r="B350" s="30" t="s">
        <v>292</v>
      </c>
    </row>
    <row r="352" spans="1:3">
      <c r="B352" s="16" t="s">
        <v>279</v>
      </c>
    </row>
    <row r="353" spans="1:6">
      <c r="B353" t="s">
        <v>287</v>
      </c>
    </row>
    <row r="354" spans="1:6">
      <c r="B354" t="s">
        <v>286</v>
      </c>
    </row>
    <row r="355" spans="1:6">
      <c r="B355" t="s">
        <v>284</v>
      </c>
    </row>
    <row r="356" spans="1:6">
      <c r="B356" t="s">
        <v>285</v>
      </c>
    </row>
    <row r="358" spans="1:6">
      <c r="B358" s="16" t="s">
        <v>280</v>
      </c>
    </row>
    <row r="359" spans="1:6">
      <c r="B359" t="s">
        <v>281</v>
      </c>
    </row>
    <row r="360" spans="1:6">
      <c r="B360" t="s">
        <v>282</v>
      </c>
    </row>
    <row r="361" spans="1:6">
      <c r="B361" t="s">
        <v>283</v>
      </c>
    </row>
    <row r="364" spans="1:6">
      <c r="A364" t="s">
        <v>299</v>
      </c>
      <c r="F364" t="s">
        <v>302</v>
      </c>
    </row>
    <row r="365" spans="1:6">
      <c r="B365" t="s">
        <v>300</v>
      </c>
      <c r="F365" t="s">
        <v>304</v>
      </c>
    </row>
    <row r="366" spans="1:6">
      <c r="B366" t="s">
        <v>301</v>
      </c>
      <c r="F366" t="s">
        <v>303</v>
      </c>
    </row>
    <row r="369" spans="1:2">
      <c r="A369" s="16" t="s">
        <v>305</v>
      </c>
    </row>
    <row r="370" spans="1:2">
      <c r="B370" t="s">
        <v>306</v>
      </c>
    </row>
    <row r="371" spans="1:2">
      <c r="B371" t="s">
        <v>308</v>
      </c>
    </row>
    <row r="372" spans="1:2">
      <c r="B372" t="s">
        <v>389</v>
      </c>
    </row>
    <row r="375" spans="1:2">
      <c r="A375" s="16" t="s">
        <v>309</v>
      </c>
    </row>
    <row r="377" spans="1:2">
      <c r="B377" s="16" t="s">
        <v>310</v>
      </c>
    </row>
    <row r="378" spans="1:2">
      <c r="B378" t="s">
        <v>311</v>
      </c>
    </row>
    <row r="379" spans="1:2">
      <c r="B379" t="s">
        <v>312</v>
      </c>
    </row>
    <row r="380" spans="1:2">
      <c r="B380" t="s">
        <v>313</v>
      </c>
    </row>
    <row r="381" spans="1:2">
      <c r="B381" t="s">
        <v>314</v>
      </c>
    </row>
    <row r="383" spans="1:2">
      <c r="B383" s="16" t="s">
        <v>315</v>
      </c>
    </row>
    <row r="384" spans="1:2">
      <c r="B384" t="s">
        <v>316</v>
      </c>
    </row>
    <row r="385" spans="2:8">
      <c r="B385" t="s">
        <v>317</v>
      </c>
    </row>
    <row r="386" spans="2:8">
      <c r="B386" t="s">
        <v>318</v>
      </c>
    </row>
    <row r="387" spans="2:8">
      <c r="B387" t="s">
        <v>319</v>
      </c>
    </row>
    <row r="389" spans="2:8">
      <c r="B389" s="16" t="s">
        <v>320</v>
      </c>
    </row>
    <row r="390" spans="2:8">
      <c r="B390" t="s">
        <v>321</v>
      </c>
    </row>
    <row r="391" spans="2:8">
      <c r="B391" t="s">
        <v>322</v>
      </c>
    </row>
    <row r="392" spans="2:8">
      <c r="B392" t="s">
        <v>323</v>
      </c>
    </row>
    <row r="394" spans="2:8">
      <c r="B394" t="s">
        <v>131</v>
      </c>
    </row>
    <row r="395" spans="2:8">
      <c r="C395" t="s">
        <v>324</v>
      </c>
    </row>
    <row r="396" spans="2:8">
      <c r="C396" t="s">
        <v>325</v>
      </c>
    </row>
    <row r="398" spans="2:8">
      <c r="B398" s="16" t="s">
        <v>234</v>
      </c>
    </row>
    <row r="399" spans="2:8">
      <c r="C399" s="16" t="s">
        <v>326</v>
      </c>
      <c r="E399" s="16" t="s">
        <v>327</v>
      </c>
      <c r="H399" s="16" t="s">
        <v>3</v>
      </c>
    </row>
    <row r="400" spans="2:8">
      <c r="C400" t="s">
        <v>328</v>
      </c>
      <c r="E400" t="s">
        <v>329</v>
      </c>
      <c r="H400" t="s">
        <v>330</v>
      </c>
    </row>
    <row r="401" spans="1:8">
      <c r="C401" t="s">
        <v>331</v>
      </c>
      <c r="E401" t="s">
        <v>332</v>
      </c>
      <c r="H401" t="s">
        <v>333</v>
      </c>
    </row>
    <row r="402" spans="1:8">
      <c r="C402" t="s">
        <v>334</v>
      </c>
      <c r="E402" t="s">
        <v>335</v>
      </c>
      <c r="H402" t="s">
        <v>336</v>
      </c>
    </row>
    <row r="404" spans="1:8">
      <c r="B404" s="16" t="s">
        <v>337</v>
      </c>
    </row>
    <row r="405" spans="1:8">
      <c r="B405" t="s">
        <v>338</v>
      </c>
    </row>
    <row r="406" spans="1:8">
      <c r="B406" t="s">
        <v>339</v>
      </c>
    </row>
    <row r="408" spans="1:8">
      <c r="A408" s="16" t="s">
        <v>342</v>
      </c>
    </row>
    <row r="409" spans="1:8">
      <c r="B409" t="s">
        <v>343</v>
      </c>
    </row>
    <row r="411" spans="1:8">
      <c r="B411" s="16" t="s">
        <v>344</v>
      </c>
    </row>
    <row r="412" spans="1:8">
      <c r="C412" t="s">
        <v>345</v>
      </c>
    </row>
    <row r="414" spans="1:8">
      <c r="C414" t="s">
        <v>131</v>
      </c>
    </row>
    <row r="415" spans="1:8">
      <c r="D415" s="31" t="s">
        <v>346</v>
      </c>
    </row>
    <row r="416" spans="1:8">
      <c r="D416" s="31" t="s">
        <v>347</v>
      </c>
    </row>
    <row r="417" spans="2:4">
      <c r="D417" s="31" t="s">
        <v>348</v>
      </c>
    </row>
    <row r="419" spans="2:4">
      <c r="C419" s="31" t="s">
        <v>349</v>
      </c>
    </row>
    <row r="421" spans="2:4">
      <c r="B421" s="16" t="s">
        <v>350</v>
      </c>
    </row>
    <row r="422" spans="2:4">
      <c r="C422" t="s">
        <v>352</v>
      </c>
    </row>
    <row r="423" spans="2:4">
      <c r="C423" t="s">
        <v>351</v>
      </c>
    </row>
    <row r="424" spans="2:4">
      <c r="C424" s="32" t="s">
        <v>390</v>
      </c>
    </row>
    <row r="425" spans="2:4">
      <c r="C425" t="s">
        <v>353</v>
      </c>
    </row>
    <row r="426" spans="2:4">
      <c r="C426" t="s">
        <v>354</v>
      </c>
    </row>
    <row r="428" spans="2:4">
      <c r="B428" s="16" t="s">
        <v>355</v>
      </c>
    </row>
    <row r="429" spans="2:4">
      <c r="C429" t="s">
        <v>356</v>
      </c>
    </row>
    <row r="430" spans="2:4">
      <c r="C430" t="s">
        <v>357</v>
      </c>
    </row>
    <row r="431" spans="2:4">
      <c r="D431" t="s">
        <v>358</v>
      </c>
    </row>
    <row r="432" spans="2:4">
      <c r="D432" t="s">
        <v>359</v>
      </c>
    </row>
    <row r="433" spans="2:4">
      <c r="D433" t="s">
        <v>360</v>
      </c>
    </row>
    <row r="434" spans="2:4">
      <c r="C434" t="s">
        <v>361</v>
      </c>
    </row>
    <row r="436" spans="2:4">
      <c r="B436" s="16" t="s">
        <v>362</v>
      </c>
    </row>
    <row r="437" spans="2:4">
      <c r="C437" t="s">
        <v>364</v>
      </c>
    </row>
    <row r="438" spans="2:4">
      <c r="C438" t="s">
        <v>363</v>
      </c>
    </row>
    <row r="440" spans="2:4">
      <c r="B440" s="16" t="s">
        <v>365</v>
      </c>
    </row>
    <row r="441" spans="2:4">
      <c r="C441" t="s">
        <v>366</v>
      </c>
    </row>
    <row r="442" spans="2:4">
      <c r="C442" t="s">
        <v>367</v>
      </c>
    </row>
    <row r="443" spans="2:4">
      <c r="D443" s="31" t="s">
        <v>368</v>
      </c>
    </row>
    <row r="444" spans="2:4">
      <c r="D444" s="31" t="s">
        <v>369</v>
      </c>
    </row>
    <row r="445" spans="2:4">
      <c r="D445" s="31" t="s">
        <v>370</v>
      </c>
    </row>
    <row r="447" spans="2:4">
      <c r="C447" t="s">
        <v>371</v>
      </c>
    </row>
    <row r="449" spans="1:7">
      <c r="B449" s="16" t="s">
        <v>372</v>
      </c>
    </row>
    <row r="450" spans="1:7">
      <c r="C450" t="s">
        <v>373</v>
      </c>
    </row>
    <row r="451" spans="1:7">
      <c r="C451" s="22" t="s">
        <v>374</v>
      </c>
    </row>
    <row r="453" spans="1:7">
      <c r="B453" s="16" t="s">
        <v>234</v>
      </c>
    </row>
    <row r="454" spans="1:7">
      <c r="C454" t="s">
        <v>375</v>
      </c>
      <c r="D454" t="s">
        <v>376</v>
      </c>
      <c r="G454" t="s">
        <v>3</v>
      </c>
    </row>
    <row r="455" spans="1:7">
      <c r="C455">
        <v>1</v>
      </c>
      <c r="D455" t="s">
        <v>377</v>
      </c>
      <c r="G455" t="s">
        <v>378</v>
      </c>
    </row>
    <row r="456" spans="1:7">
      <c r="C456">
        <v>2</v>
      </c>
      <c r="D456" t="s">
        <v>379</v>
      </c>
      <c r="G456" t="s">
        <v>380</v>
      </c>
    </row>
    <row r="457" spans="1:7">
      <c r="C457">
        <v>3</v>
      </c>
      <c r="D457" t="s">
        <v>381</v>
      </c>
      <c r="G457" t="s">
        <v>382</v>
      </c>
    </row>
    <row r="458" spans="1:7">
      <c r="C458">
        <v>4</v>
      </c>
      <c r="D458" t="s">
        <v>383</v>
      </c>
      <c r="G458" t="s">
        <v>384</v>
      </c>
    </row>
    <row r="459" spans="1:7">
      <c r="C459">
        <v>5</v>
      </c>
      <c r="D459" t="s">
        <v>385</v>
      </c>
      <c r="G459" t="s">
        <v>386</v>
      </c>
    </row>
    <row r="461" spans="1:7">
      <c r="A461" s="16" t="s">
        <v>391</v>
      </c>
    </row>
    <row r="462" spans="1:7">
      <c r="B462" s="32" t="s">
        <v>392</v>
      </c>
    </row>
    <row r="463" spans="1:7">
      <c r="B463" t="s">
        <v>393</v>
      </c>
    </row>
    <row r="464" spans="1:7">
      <c r="B464" t="s">
        <v>394</v>
      </c>
    </row>
    <row r="465" spans="2:3">
      <c r="B465" t="s">
        <v>395</v>
      </c>
    </row>
    <row r="466" spans="2:3">
      <c r="C466" t="s">
        <v>396</v>
      </c>
    </row>
    <row r="467" spans="2:3">
      <c r="C467" t="s">
        <v>397</v>
      </c>
    </row>
    <row r="468" spans="2:3">
      <c r="C468" t="s">
        <v>398</v>
      </c>
    </row>
    <row r="469" spans="2:3">
      <c r="C469" t="s">
        <v>399</v>
      </c>
    </row>
    <row r="471" spans="2:3">
      <c r="B471" s="32" t="s">
        <v>406</v>
      </c>
    </row>
    <row r="472" spans="2:3">
      <c r="B472" t="s">
        <v>400</v>
      </c>
    </row>
    <row r="473" spans="2:3">
      <c r="C473" t="s">
        <v>401</v>
      </c>
    </row>
    <row r="474" spans="2:3">
      <c r="C474" t="s">
        <v>402</v>
      </c>
    </row>
    <row r="475" spans="2:3">
      <c r="C475" t="s">
        <v>403</v>
      </c>
    </row>
    <row r="477" spans="2:3">
      <c r="B477" t="s">
        <v>404</v>
      </c>
    </row>
    <row r="479" spans="2:3">
      <c r="B479" t="s">
        <v>405</v>
      </c>
    </row>
    <row r="480" spans="2:3">
      <c r="B480" t="s">
        <v>407</v>
      </c>
    </row>
    <row r="482" spans="1:3">
      <c r="B482" t="s">
        <v>409</v>
      </c>
    </row>
    <row r="483" spans="1:3">
      <c r="C483" t="s">
        <v>408</v>
      </c>
    </row>
    <row r="484" spans="1:3">
      <c r="C484" t="s">
        <v>410</v>
      </c>
    </row>
    <row r="485" spans="1:3">
      <c r="C485" t="s">
        <v>411</v>
      </c>
    </row>
    <row r="487" spans="1:3">
      <c r="B487" s="16" t="s">
        <v>412</v>
      </c>
    </row>
    <row r="488" spans="1:3">
      <c r="C488" t="s">
        <v>413</v>
      </c>
    </row>
    <row r="490" spans="1:3">
      <c r="B490" t="s">
        <v>415</v>
      </c>
    </row>
    <row r="491" spans="1:3">
      <c r="C491" t="s">
        <v>414</v>
      </c>
    </row>
    <row r="493" spans="1:3">
      <c r="A493" s="16" t="s">
        <v>430</v>
      </c>
    </row>
    <row r="495" spans="1:3">
      <c r="B495" s="16" t="s">
        <v>431</v>
      </c>
    </row>
    <row r="496" spans="1:3">
      <c r="B496" s="16"/>
    </row>
    <row r="497" spans="2:3">
      <c r="B497" t="s">
        <v>432</v>
      </c>
    </row>
    <row r="498" spans="2:3">
      <c r="B498" t="s">
        <v>433</v>
      </c>
    </row>
    <row r="499" spans="2:3">
      <c r="B499" t="s">
        <v>434</v>
      </c>
    </row>
    <row r="501" spans="2:3">
      <c r="B501" t="s">
        <v>435</v>
      </c>
    </row>
    <row r="502" spans="2:3">
      <c r="B502" t="s">
        <v>436</v>
      </c>
    </row>
    <row r="504" spans="2:3">
      <c r="B504" s="16" t="s">
        <v>437</v>
      </c>
    </row>
    <row r="505" spans="2:3">
      <c r="B505" s="16"/>
    </row>
    <row r="506" spans="2:3">
      <c r="B506" t="s">
        <v>438</v>
      </c>
    </row>
    <row r="507" spans="2:3">
      <c r="B507" t="s">
        <v>439</v>
      </c>
    </row>
    <row r="509" spans="2:3">
      <c r="B509" t="s">
        <v>440</v>
      </c>
    </row>
    <row r="510" spans="2:3">
      <c r="C510" t="s">
        <v>442</v>
      </c>
    </row>
    <row r="511" spans="2:3">
      <c r="C511" t="s">
        <v>441</v>
      </c>
    </row>
    <row r="513" spans="2:3">
      <c r="B513" t="s">
        <v>443</v>
      </c>
    </row>
    <row r="515" spans="2:3">
      <c r="B515" s="16" t="s">
        <v>444</v>
      </c>
    </row>
    <row r="517" spans="2:3">
      <c r="B517" t="s">
        <v>445</v>
      </c>
    </row>
    <row r="518" spans="2:3">
      <c r="C518" t="s">
        <v>446</v>
      </c>
    </row>
    <row r="519" spans="2:3">
      <c r="C519" t="s">
        <v>447</v>
      </c>
    </row>
    <row r="521" spans="2:3">
      <c r="B521" t="s">
        <v>448</v>
      </c>
    </row>
    <row r="523" spans="2:3">
      <c r="B523" s="22" t="s">
        <v>449</v>
      </c>
    </row>
    <row r="525" spans="2:3">
      <c r="B525" t="s">
        <v>450</v>
      </c>
    </row>
    <row r="527" spans="2:3">
      <c r="B527" s="16" t="s">
        <v>451</v>
      </c>
    </row>
    <row r="529" spans="1:9">
      <c r="B529" s="33" t="s">
        <v>375</v>
      </c>
      <c r="C529" s="34"/>
      <c r="D529" s="33" t="s">
        <v>452</v>
      </c>
      <c r="E529" s="35"/>
      <c r="F529" s="34"/>
      <c r="G529" s="33" t="s">
        <v>453</v>
      </c>
      <c r="H529" s="35"/>
      <c r="I529" s="34"/>
    </row>
    <row r="530" spans="1:9">
      <c r="B530" s="37" t="s">
        <v>464</v>
      </c>
      <c r="C530" s="36"/>
      <c r="D530" s="37" t="s">
        <v>454</v>
      </c>
      <c r="E530" s="38"/>
      <c r="F530" s="36"/>
      <c r="G530" s="37" t="s">
        <v>455</v>
      </c>
      <c r="H530" s="38"/>
      <c r="I530" s="36"/>
    </row>
    <row r="531" spans="1:9">
      <c r="B531" s="37" t="s">
        <v>463</v>
      </c>
      <c r="C531" s="36"/>
      <c r="D531" s="37" t="s">
        <v>456</v>
      </c>
      <c r="E531" s="38"/>
      <c r="F531" s="36"/>
      <c r="G531" s="37" t="s">
        <v>457</v>
      </c>
      <c r="H531" s="38"/>
      <c r="I531" s="36"/>
    </row>
    <row r="532" spans="1:9">
      <c r="B532" s="37" t="s">
        <v>462</v>
      </c>
      <c r="C532" s="36"/>
      <c r="D532" s="37" t="s">
        <v>458</v>
      </c>
      <c r="E532" s="38"/>
      <c r="F532" s="36"/>
      <c r="G532" s="37" t="s">
        <v>459</v>
      </c>
      <c r="H532" s="38"/>
      <c r="I532" s="36"/>
    </row>
    <row r="533" spans="1:9">
      <c r="B533" s="37" t="s">
        <v>465</v>
      </c>
      <c r="C533" s="36"/>
      <c r="D533" s="37" t="s">
        <v>460</v>
      </c>
      <c r="E533" s="38"/>
      <c r="F533" s="36"/>
      <c r="G533" s="37" t="s">
        <v>461</v>
      </c>
      <c r="H533" s="38"/>
      <c r="I533" s="36"/>
    </row>
    <row r="535" spans="1:9">
      <c r="A535" s="16" t="s">
        <v>466</v>
      </c>
    </row>
    <row r="537" spans="1:9">
      <c r="A537" s="16"/>
      <c r="B537" s="16" t="s">
        <v>467</v>
      </c>
      <c r="F537" s="16" t="s">
        <v>477</v>
      </c>
    </row>
    <row r="538" spans="1:9">
      <c r="B538" t="s">
        <v>468</v>
      </c>
      <c r="F538" t="s">
        <v>478</v>
      </c>
    </row>
    <row r="539" spans="1:9">
      <c r="B539" t="s">
        <v>469</v>
      </c>
      <c r="F539" t="s">
        <v>479</v>
      </c>
    </row>
    <row r="540" spans="1:9">
      <c r="B540" t="s">
        <v>470</v>
      </c>
      <c r="F540" t="s">
        <v>480</v>
      </c>
    </row>
    <row r="541" spans="1:9">
      <c r="B541" t="s">
        <v>471</v>
      </c>
      <c r="F541" t="s">
        <v>481</v>
      </c>
    </row>
    <row r="542" spans="1:9">
      <c r="B542" t="s">
        <v>472</v>
      </c>
      <c r="F542" t="s">
        <v>482</v>
      </c>
    </row>
    <row r="543" spans="1:9">
      <c r="B543" t="s">
        <v>473</v>
      </c>
      <c r="F543" t="s">
        <v>483</v>
      </c>
    </row>
    <row r="544" spans="1:9">
      <c r="B544" t="s">
        <v>474</v>
      </c>
      <c r="F544" t="s">
        <v>484</v>
      </c>
    </row>
    <row r="545" spans="1:6">
      <c r="B545" t="s">
        <v>475</v>
      </c>
      <c r="F545" t="s">
        <v>485</v>
      </c>
    </row>
    <row r="546" spans="1:6">
      <c r="B546" t="s">
        <v>476</v>
      </c>
      <c r="F546" t="s">
        <v>486</v>
      </c>
    </row>
    <row r="547" spans="1:6">
      <c r="F547" t="s">
        <v>487</v>
      </c>
    </row>
    <row r="550" spans="1:6">
      <c r="A550" s="16" t="s">
        <v>658</v>
      </c>
    </row>
    <row r="552" spans="1:6">
      <c r="B552" t="s">
        <v>659</v>
      </c>
    </row>
    <row r="553" spans="1:6">
      <c r="B553" t="s">
        <v>660</v>
      </c>
    </row>
    <row r="555" spans="1:6">
      <c r="B555" s="16" t="s">
        <v>661</v>
      </c>
    </row>
    <row r="556" spans="1:6">
      <c r="C556" t="s">
        <v>662</v>
      </c>
    </row>
    <row r="557" spans="1:6">
      <c r="C557" t="s">
        <v>663</v>
      </c>
    </row>
    <row r="558" spans="1:6">
      <c r="C558" t="s">
        <v>664</v>
      </c>
    </row>
    <row r="560" spans="1:6">
      <c r="B560" t="s">
        <v>665</v>
      </c>
    </row>
    <row r="562" spans="2:3">
      <c r="B562" t="s">
        <v>666</v>
      </c>
    </row>
    <row r="564" spans="2:3">
      <c r="B564" t="s">
        <v>661</v>
      </c>
    </row>
    <row r="565" spans="2:3">
      <c r="C565" t="s">
        <v>667</v>
      </c>
    </row>
    <row r="566" spans="2:3">
      <c r="C566" t="s">
        <v>668</v>
      </c>
    </row>
    <row r="567" spans="2:3">
      <c r="C567" t="s">
        <v>669</v>
      </c>
    </row>
    <row r="569" spans="2:3">
      <c r="B569" t="s">
        <v>670</v>
      </c>
    </row>
    <row r="571" spans="2:3">
      <c r="B571" s="16" t="s">
        <v>671</v>
      </c>
    </row>
    <row r="572" spans="2:3">
      <c r="C572" s="58" t="s">
        <v>672</v>
      </c>
    </row>
    <row r="573" spans="2:3">
      <c r="C573" s="58" t="s">
        <v>673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M289"/>
  <sheetViews>
    <sheetView topLeftCell="A289" zoomScale="145" zoomScaleNormal="145" workbookViewId="0">
      <selection activeCell="B297" sqref="B297"/>
    </sheetView>
  </sheetViews>
  <sheetFormatPr defaultRowHeight="14.4"/>
  <cols>
    <col min="4" max="4" width="9.5546875" customWidth="1"/>
  </cols>
  <sheetData>
    <row r="2" spans="1:9">
      <c r="A2" s="16" t="s">
        <v>595</v>
      </c>
    </row>
    <row r="3" spans="1:9">
      <c r="B3" s="39"/>
      <c r="C3" s="40" t="s">
        <v>490</v>
      </c>
      <c r="D3" s="34"/>
      <c r="E3" s="33" t="s">
        <v>491</v>
      </c>
      <c r="F3" s="35"/>
      <c r="G3" s="33" t="s">
        <v>497</v>
      </c>
      <c r="H3" s="35"/>
      <c r="I3" s="34"/>
    </row>
    <row r="4" spans="1:9">
      <c r="B4" s="24" t="s">
        <v>178</v>
      </c>
      <c r="C4" s="24" t="s">
        <v>488</v>
      </c>
      <c r="D4" s="24" t="s">
        <v>489</v>
      </c>
      <c r="E4" s="2"/>
      <c r="F4" s="5"/>
      <c r="G4" s="3"/>
      <c r="H4" s="7"/>
      <c r="I4" s="8"/>
    </row>
    <row r="5" spans="1:9">
      <c r="B5" s="2"/>
      <c r="C5" s="5"/>
      <c r="D5" s="6"/>
      <c r="E5" s="3"/>
      <c r="F5" s="7"/>
      <c r="G5" s="3"/>
      <c r="H5" s="7"/>
      <c r="I5" s="8"/>
    </row>
    <row r="6" spans="1:9">
      <c r="B6" s="4"/>
      <c r="C6" s="10"/>
      <c r="D6" s="11"/>
      <c r="E6" s="4"/>
      <c r="F6" s="10"/>
      <c r="G6" s="4"/>
      <c r="H6" s="10"/>
      <c r="I6" s="11"/>
    </row>
    <row r="8" spans="1:9">
      <c r="A8" s="16" t="s">
        <v>490</v>
      </c>
    </row>
    <row r="9" spans="1:9">
      <c r="B9" s="16" t="s">
        <v>496</v>
      </c>
    </row>
    <row r="10" spans="1:9">
      <c r="B10" t="s">
        <v>493</v>
      </c>
    </row>
    <row r="11" spans="1:9">
      <c r="B11" t="s">
        <v>494</v>
      </c>
    </row>
    <row r="12" spans="1:9">
      <c r="B12" t="s">
        <v>495</v>
      </c>
    </row>
    <row r="14" spans="1:9">
      <c r="A14" s="16" t="s">
        <v>491</v>
      </c>
    </row>
    <row r="15" spans="1:9">
      <c r="B15" t="s">
        <v>492</v>
      </c>
    </row>
    <row r="17" spans="1:12">
      <c r="B17" s="16" t="s">
        <v>131</v>
      </c>
    </row>
    <row r="18" spans="1:12">
      <c r="B18" t="s">
        <v>499</v>
      </c>
    </row>
    <row r="19" spans="1:12">
      <c r="B19" t="s">
        <v>500</v>
      </c>
    </row>
    <row r="20" spans="1:12">
      <c r="B20" t="s">
        <v>501</v>
      </c>
    </row>
    <row r="22" spans="1:12">
      <c r="A22" s="16" t="s">
        <v>2</v>
      </c>
    </row>
    <row r="23" spans="1:12">
      <c r="B23" t="s">
        <v>498</v>
      </c>
    </row>
    <row r="24" spans="1:12">
      <c r="B24" t="s">
        <v>1258</v>
      </c>
    </row>
    <row r="26" spans="1:12">
      <c r="A26" s="16" t="s">
        <v>529</v>
      </c>
    </row>
    <row r="28" spans="1:12">
      <c r="B28" s="2"/>
      <c r="C28" s="5"/>
      <c r="D28" s="54" t="s">
        <v>490</v>
      </c>
      <c r="E28" s="35"/>
      <c r="F28" s="35"/>
      <c r="G28" s="35"/>
      <c r="H28" s="35"/>
      <c r="I28" s="33" t="s">
        <v>491</v>
      </c>
      <c r="J28" s="34"/>
      <c r="K28" s="33" t="s">
        <v>2</v>
      </c>
      <c r="L28" s="34"/>
    </row>
    <row r="29" spans="1:12">
      <c r="B29" s="2"/>
      <c r="C29" s="43" t="s">
        <v>246</v>
      </c>
      <c r="D29" s="6"/>
      <c r="E29" s="5"/>
      <c r="F29" s="43" t="s">
        <v>511</v>
      </c>
      <c r="G29" s="6"/>
      <c r="H29" s="48" t="s">
        <v>519</v>
      </c>
      <c r="I29" s="3"/>
      <c r="J29" s="8"/>
      <c r="K29" s="3"/>
      <c r="L29" s="8"/>
    </row>
    <row r="30" spans="1:12">
      <c r="B30" s="42" t="s">
        <v>506</v>
      </c>
      <c r="C30" s="7"/>
      <c r="D30" s="8" t="s">
        <v>134</v>
      </c>
      <c r="E30" s="7"/>
      <c r="F30" s="7"/>
      <c r="G30" s="8"/>
      <c r="H30" s="3"/>
      <c r="I30" s="3"/>
      <c r="J30" s="8"/>
      <c r="K30" s="3"/>
      <c r="L30" s="8"/>
    </row>
    <row r="31" spans="1:12">
      <c r="B31" s="3" t="s">
        <v>507</v>
      </c>
      <c r="C31" s="7"/>
      <c r="D31" s="8"/>
      <c r="E31" s="7" t="s">
        <v>512</v>
      </c>
      <c r="F31" s="7" t="s">
        <v>514</v>
      </c>
      <c r="G31" s="8"/>
      <c r="H31" s="3" t="s">
        <v>527</v>
      </c>
      <c r="I31" s="3" t="s">
        <v>528</v>
      </c>
      <c r="J31" s="8"/>
      <c r="K31" s="3"/>
      <c r="L31" s="8"/>
    </row>
    <row r="32" spans="1:12">
      <c r="B32" s="3" t="s">
        <v>508</v>
      </c>
      <c r="C32" s="7"/>
      <c r="D32" s="8"/>
      <c r="E32" s="7" t="s">
        <v>515</v>
      </c>
      <c r="F32" s="7" t="s">
        <v>516</v>
      </c>
      <c r="G32" s="8"/>
      <c r="H32" s="3" t="s">
        <v>527</v>
      </c>
      <c r="I32" s="3"/>
      <c r="J32" s="8"/>
      <c r="K32" s="3"/>
      <c r="L32" s="8"/>
    </row>
    <row r="33" spans="1:12">
      <c r="B33" s="3" t="s">
        <v>532</v>
      </c>
      <c r="C33" s="7"/>
      <c r="D33" s="8"/>
      <c r="E33" s="7" t="s">
        <v>260</v>
      </c>
      <c r="F33" s="7"/>
      <c r="G33" s="8"/>
      <c r="H33" s="3" t="s">
        <v>527</v>
      </c>
      <c r="I33" s="3"/>
      <c r="J33" s="8"/>
      <c r="K33" s="3"/>
      <c r="L33" s="8"/>
    </row>
    <row r="34" spans="1:12">
      <c r="B34" s="3" t="s">
        <v>509</v>
      </c>
      <c r="C34" s="7"/>
      <c r="D34" s="8"/>
      <c r="E34" s="7" t="s">
        <v>513</v>
      </c>
      <c r="F34" s="7" t="s">
        <v>517</v>
      </c>
      <c r="G34" s="8"/>
      <c r="H34" s="3" t="s">
        <v>527</v>
      </c>
      <c r="I34" s="3"/>
      <c r="J34" s="8"/>
      <c r="K34" s="3"/>
      <c r="L34" s="8"/>
    </row>
    <row r="35" spans="1:12">
      <c r="B35" s="3"/>
      <c r="C35" s="7"/>
      <c r="D35" s="8"/>
      <c r="E35" s="7"/>
      <c r="F35" s="7"/>
      <c r="G35" s="8"/>
      <c r="H35" s="3"/>
      <c r="I35" s="3"/>
      <c r="J35" s="8"/>
      <c r="K35" s="3"/>
      <c r="L35" s="8"/>
    </row>
    <row r="36" spans="1:12">
      <c r="B36" s="3"/>
      <c r="C36" s="7"/>
      <c r="D36" s="8"/>
      <c r="E36" s="7"/>
      <c r="F36" s="7"/>
      <c r="G36" s="8"/>
      <c r="H36" s="3"/>
      <c r="I36" s="3"/>
      <c r="J36" s="8"/>
      <c r="K36" s="3"/>
      <c r="L36" s="8"/>
    </row>
    <row r="37" spans="1:12">
      <c r="B37" s="42" t="s">
        <v>503</v>
      </c>
      <c r="C37" s="7"/>
      <c r="D37" s="8"/>
      <c r="E37" s="7"/>
      <c r="F37" s="7"/>
      <c r="G37" s="8"/>
      <c r="H37" s="3"/>
      <c r="I37" s="3"/>
      <c r="J37" s="8"/>
      <c r="K37" s="3"/>
      <c r="L37" s="8"/>
    </row>
    <row r="38" spans="1:12">
      <c r="B38" s="3"/>
      <c r="C38" s="7" t="s">
        <v>510</v>
      </c>
      <c r="D38" s="8"/>
      <c r="E38" s="7" t="s">
        <v>518</v>
      </c>
      <c r="F38" s="7"/>
      <c r="G38" s="8"/>
      <c r="H38" s="3" t="s">
        <v>527</v>
      </c>
      <c r="I38" s="3"/>
      <c r="J38" s="8"/>
      <c r="K38" s="3"/>
      <c r="L38" s="8"/>
    </row>
    <row r="39" spans="1:12">
      <c r="B39" s="3"/>
      <c r="C39" s="7"/>
      <c r="D39" s="8"/>
      <c r="E39" s="7"/>
      <c r="F39" s="7"/>
      <c r="G39" s="8"/>
      <c r="H39" s="3"/>
      <c r="I39" s="3"/>
      <c r="J39" s="8"/>
      <c r="K39" s="3"/>
      <c r="L39" s="8"/>
    </row>
    <row r="40" spans="1:12">
      <c r="B40" s="42" t="s">
        <v>504</v>
      </c>
      <c r="C40" s="7"/>
      <c r="D40" s="8"/>
      <c r="E40" s="7"/>
      <c r="F40" s="7"/>
      <c r="G40" s="8"/>
      <c r="H40" s="3" t="s">
        <v>527</v>
      </c>
      <c r="I40" s="3"/>
      <c r="J40" s="8"/>
      <c r="K40" s="3"/>
      <c r="L40" s="8"/>
    </row>
    <row r="41" spans="1:12">
      <c r="B41" s="4"/>
      <c r="C41" s="10"/>
      <c r="D41" s="11"/>
      <c r="E41" s="10"/>
      <c r="F41" s="10"/>
      <c r="G41" s="11"/>
      <c r="H41" s="4"/>
      <c r="I41" s="4"/>
      <c r="J41" s="11"/>
      <c r="K41" s="4"/>
      <c r="L41" s="11"/>
    </row>
    <row r="44" spans="1:12">
      <c r="A44" s="16" t="s">
        <v>533</v>
      </c>
    </row>
    <row r="46" spans="1:12">
      <c r="B46" s="7" t="s">
        <v>536</v>
      </c>
      <c r="D46" s="7" t="s">
        <v>535</v>
      </c>
      <c r="G46" s="7" t="s">
        <v>534</v>
      </c>
    </row>
    <row r="47" spans="1:12">
      <c r="D47" s="7"/>
      <c r="G47" s="7"/>
    </row>
    <row r="48" spans="1:12">
      <c r="D48" s="7" t="s">
        <v>794</v>
      </c>
      <c r="G48" s="7" t="s">
        <v>593</v>
      </c>
    </row>
    <row r="49" spans="1:12">
      <c r="D49" s="7"/>
      <c r="G49" s="7"/>
    </row>
    <row r="50" spans="1:12">
      <c r="D50" s="7" t="s">
        <v>795</v>
      </c>
      <c r="G50" s="7" t="s">
        <v>593</v>
      </c>
    </row>
    <row r="51" spans="1:12">
      <c r="D51" s="7"/>
      <c r="G51" s="7"/>
    </row>
    <row r="52" spans="1:12">
      <c r="D52" s="7" t="s">
        <v>796</v>
      </c>
      <c r="G52" s="7" t="s">
        <v>593</v>
      </c>
    </row>
    <row r="54" spans="1:12">
      <c r="A54" s="16" t="s">
        <v>596</v>
      </c>
    </row>
    <row r="55" spans="1:12">
      <c r="A55" s="16"/>
    </row>
    <row r="56" spans="1:12">
      <c r="C56" s="16" t="s">
        <v>1265</v>
      </c>
      <c r="H56" s="16" t="s">
        <v>598</v>
      </c>
      <c r="L56" s="16" t="s">
        <v>739</v>
      </c>
    </row>
    <row r="57" spans="1:12">
      <c r="B57">
        <v>1</v>
      </c>
      <c r="C57" t="s">
        <v>597</v>
      </c>
      <c r="H57" t="s">
        <v>608</v>
      </c>
      <c r="L57" t="s">
        <v>745</v>
      </c>
    </row>
    <row r="58" spans="1:12">
      <c r="B58">
        <v>2</v>
      </c>
      <c r="C58" t="s">
        <v>1266</v>
      </c>
      <c r="H58" t="s">
        <v>599</v>
      </c>
      <c r="L58" t="s">
        <v>744</v>
      </c>
    </row>
    <row r="59" spans="1:12">
      <c r="B59">
        <v>3</v>
      </c>
      <c r="C59" s="69" t="s">
        <v>602</v>
      </c>
      <c r="H59" t="s">
        <v>843</v>
      </c>
      <c r="L59" t="s">
        <v>742</v>
      </c>
    </row>
    <row r="60" spans="1:12">
      <c r="B60">
        <v>4</v>
      </c>
      <c r="C60" t="s">
        <v>600</v>
      </c>
      <c r="H60" t="s">
        <v>601</v>
      </c>
      <c r="L60" t="s">
        <v>743</v>
      </c>
    </row>
    <row r="61" spans="1:12">
      <c r="B61">
        <v>5</v>
      </c>
      <c r="C61" t="s">
        <v>842</v>
      </c>
      <c r="H61" t="s">
        <v>843</v>
      </c>
      <c r="L61" t="s">
        <v>742</v>
      </c>
    </row>
    <row r="62" spans="1:12">
      <c r="B62">
        <v>6</v>
      </c>
      <c r="C62" s="16" t="s">
        <v>653</v>
      </c>
      <c r="H62" t="s">
        <v>846</v>
      </c>
    </row>
    <row r="63" spans="1:12">
      <c r="B63">
        <v>7</v>
      </c>
      <c r="C63" t="s">
        <v>737</v>
      </c>
      <c r="H63" t="s">
        <v>738</v>
      </c>
      <c r="L63" t="s">
        <v>741</v>
      </c>
    </row>
    <row r="64" spans="1:12">
      <c r="B64">
        <v>8</v>
      </c>
      <c r="C64" t="s">
        <v>746</v>
      </c>
      <c r="H64" t="s">
        <v>747</v>
      </c>
      <c r="L64" t="s">
        <v>797</v>
      </c>
    </row>
    <row r="65" spans="2:13">
      <c r="B65">
        <v>9</v>
      </c>
      <c r="C65" t="s">
        <v>740</v>
      </c>
      <c r="H65" t="s">
        <v>831</v>
      </c>
      <c r="L65" s="63" t="s">
        <v>812</v>
      </c>
    </row>
    <row r="66" spans="2:13">
      <c r="B66">
        <v>10</v>
      </c>
      <c r="C66" t="s">
        <v>844</v>
      </c>
      <c r="H66" t="s">
        <v>845</v>
      </c>
      <c r="L66" s="63" t="s">
        <v>821</v>
      </c>
    </row>
    <row r="67" spans="2:13">
      <c r="B67">
        <v>11</v>
      </c>
      <c r="C67" t="s">
        <v>822</v>
      </c>
      <c r="H67" t="s">
        <v>824</v>
      </c>
      <c r="L67" t="s">
        <v>823</v>
      </c>
    </row>
    <row r="68" spans="2:13">
      <c r="B68" s="69">
        <v>12</v>
      </c>
      <c r="C68" t="s">
        <v>826</v>
      </c>
      <c r="H68" t="s">
        <v>847</v>
      </c>
      <c r="L68" t="s">
        <v>827</v>
      </c>
      <c r="M68" s="63"/>
    </row>
    <row r="69" spans="2:13">
      <c r="B69">
        <v>13</v>
      </c>
      <c r="C69" t="s">
        <v>828</v>
      </c>
      <c r="H69" t="s">
        <v>848</v>
      </c>
      <c r="L69" t="s">
        <v>1267</v>
      </c>
      <c r="M69" s="63"/>
    </row>
    <row r="70" spans="2:13">
      <c r="B70">
        <v>14</v>
      </c>
      <c r="C70" t="s">
        <v>829</v>
      </c>
      <c r="L70" t="s">
        <v>830</v>
      </c>
      <c r="M70" s="63"/>
    </row>
    <row r="71" spans="2:13">
      <c r="B71">
        <v>15</v>
      </c>
      <c r="C71" t="s">
        <v>832</v>
      </c>
      <c r="H71" t="s">
        <v>840</v>
      </c>
      <c r="L71" t="s">
        <v>838</v>
      </c>
      <c r="M71" s="63"/>
    </row>
    <row r="72" spans="2:13">
      <c r="B72">
        <v>16</v>
      </c>
      <c r="C72" t="s">
        <v>839</v>
      </c>
      <c r="H72" t="s">
        <v>840</v>
      </c>
      <c r="L72" t="s">
        <v>841</v>
      </c>
      <c r="M72" s="63"/>
    </row>
    <row r="73" spans="2:13">
      <c r="B73">
        <v>17</v>
      </c>
      <c r="C73" s="16" t="s">
        <v>849</v>
      </c>
      <c r="L73" t="s">
        <v>850</v>
      </c>
      <c r="M73" s="63"/>
    </row>
    <row r="74" spans="2:13">
      <c r="B74">
        <v>18</v>
      </c>
      <c r="C74" s="16" t="s">
        <v>851</v>
      </c>
      <c r="L74" t="s">
        <v>850</v>
      </c>
      <c r="M74" s="63"/>
    </row>
    <row r="75" spans="2:13">
      <c r="B75">
        <v>19</v>
      </c>
      <c r="M75" s="63"/>
    </row>
    <row r="76" spans="2:13">
      <c r="M76" s="63"/>
    </row>
    <row r="78" spans="2:13">
      <c r="C78" s="27" t="s">
        <v>625</v>
      </c>
      <c r="I78" s="27" t="s">
        <v>631</v>
      </c>
    </row>
    <row r="79" spans="2:13">
      <c r="B79">
        <v>1</v>
      </c>
      <c r="C79" t="s">
        <v>626</v>
      </c>
      <c r="H79">
        <v>1</v>
      </c>
      <c r="I79" t="s">
        <v>636</v>
      </c>
    </row>
    <row r="80" spans="2:13">
      <c r="B80">
        <v>2</v>
      </c>
      <c r="C80" s="57" t="s">
        <v>630</v>
      </c>
      <c r="H80">
        <v>2</v>
      </c>
      <c r="I80" t="s">
        <v>637</v>
      </c>
    </row>
    <row r="81" spans="1:9">
      <c r="B81">
        <v>3</v>
      </c>
      <c r="C81" t="s">
        <v>627</v>
      </c>
      <c r="H81">
        <v>3</v>
      </c>
      <c r="I81" t="s">
        <v>632</v>
      </c>
    </row>
    <row r="82" spans="1:9">
      <c r="B82">
        <v>4</v>
      </c>
      <c r="C82" t="s">
        <v>628</v>
      </c>
      <c r="H82">
        <v>4</v>
      </c>
      <c r="I82" t="s">
        <v>633</v>
      </c>
    </row>
    <row r="83" spans="1:9">
      <c r="B83">
        <v>5</v>
      </c>
      <c r="C83" t="s">
        <v>629</v>
      </c>
      <c r="H83">
        <v>5</v>
      </c>
      <c r="I83" t="s">
        <v>651</v>
      </c>
    </row>
    <row r="84" spans="1:9">
      <c r="B84">
        <v>6</v>
      </c>
      <c r="C84" t="s">
        <v>635</v>
      </c>
      <c r="H84">
        <v>6</v>
      </c>
      <c r="I84" t="s">
        <v>634</v>
      </c>
    </row>
    <row r="87" spans="1:9">
      <c r="A87" s="16" t="s">
        <v>609</v>
      </c>
    </row>
    <row r="89" spans="1:9">
      <c r="B89">
        <v>1</v>
      </c>
      <c r="C89" t="s">
        <v>610</v>
      </c>
      <c r="E89" t="s">
        <v>611</v>
      </c>
    </row>
    <row r="90" spans="1:9">
      <c r="B90">
        <v>2</v>
      </c>
      <c r="C90" t="s">
        <v>612</v>
      </c>
      <c r="E90" t="s">
        <v>615</v>
      </c>
    </row>
    <row r="91" spans="1:9">
      <c r="B91">
        <v>3</v>
      </c>
      <c r="C91" t="s">
        <v>613</v>
      </c>
      <c r="E91" t="s">
        <v>619</v>
      </c>
    </row>
    <row r="92" spans="1:9">
      <c r="B92">
        <v>4</v>
      </c>
      <c r="C92" t="s">
        <v>614</v>
      </c>
      <c r="E92" t="s">
        <v>620</v>
      </c>
    </row>
    <row r="93" spans="1:9">
      <c r="B93">
        <v>5</v>
      </c>
      <c r="C93" t="s">
        <v>616</v>
      </c>
      <c r="E93" t="s">
        <v>621</v>
      </c>
    </row>
    <row r="94" spans="1:9">
      <c r="B94">
        <v>6</v>
      </c>
      <c r="C94" t="s">
        <v>617</v>
      </c>
      <c r="E94" t="s">
        <v>618</v>
      </c>
    </row>
    <row r="97" spans="1:4">
      <c r="A97" s="16" t="s">
        <v>624</v>
      </c>
    </row>
    <row r="99" spans="1:4">
      <c r="B99">
        <v>1</v>
      </c>
      <c r="C99" t="s">
        <v>606</v>
      </c>
      <c r="D99" t="s">
        <v>607</v>
      </c>
    </row>
    <row r="100" spans="1:4">
      <c r="B100">
        <v>2</v>
      </c>
      <c r="C100" t="s">
        <v>612</v>
      </c>
      <c r="D100" t="s">
        <v>607</v>
      </c>
    </row>
    <row r="103" spans="1:4">
      <c r="A103" s="16" t="s">
        <v>638</v>
      </c>
    </row>
    <row r="105" spans="1:4">
      <c r="B105">
        <v>1</v>
      </c>
      <c r="C105" t="s">
        <v>639</v>
      </c>
    </row>
    <row r="106" spans="1:4">
      <c r="B106">
        <v>2</v>
      </c>
      <c r="C106" t="s">
        <v>640</v>
      </c>
    </row>
    <row r="107" spans="1:4">
      <c r="B107">
        <v>3</v>
      </c>
      <c r="C107" t="s">
        <v>643</v>
      </c>
    </row>
    <row r="108" spans="1:4">
      <c r="B108">
        <v>4</v>
      </c>
      <c r="C108" t="s">
        <v>641</v>
      </c>
    </row>
    <row r="109" spans="1:4">
      <c r="B109">
        <v>5</v>
      </c>
      <c r="C109" t="s">
        <v>642</v>
      </c>
    </row>
    <row r="110" spans="1:4">
      <c r="B110">
        <v>6</v>
      </c>
      <c r="C110" t="s">
        <v>652</v>
      </c>
    </row>
    <row r="111" spans="1:4">
      <c r="B111">
        <v>7</v>
      </c>
      <c r="C111" t="s">
        <v>674</v>
      </c>
    </row>
    <row r="112" spans="1:4">
      <c r="B112">
        <v>8</v>
      </c>
      <c r="C112" t="s">
        <v>731</v>
      </c>
    </row>
    <row r="113" spans="1:3">
      <c r="B113">
        <v>9</v>
      </c>
      <c r="C113" t="s">
        <v>734</v>
      </c>
    </row>
    <row r="114" spans="1:3">
      <c r="B114">
        <v>10</v>
      </c>
      <c r="C114" t="s">
        <v>811</v>
      </c>
    </row>
    <row r="115" spans="1:3">
      <c r="B115">
        <v>11</v>
      </c>
      <c r="C115" t="s">
        <v>825</v>
      </c>
    </row>
    <row r="118" spans="1:3">
      <c r="A118" s="16" t="s">
        <v>273</v>
      </c>
    </row>
    <row r="119" spans="1:3">
      <c r="A119" s="16"/>
      <c r="B119" t="s">
        <v>648</v>
      </c>
    </row>
    <row r="121" spans="1:3">
      <c r="B121">
        <v>1</v>
      </c>
      <c r="C121" s="16" t="s">
        <v>1491</v>
      </c>
    </row>
    <row r="123" spans="1:3">
      <c r="B123">
        <v>2</v>
      </c>
      <c r="C123" s="16" t="s">
        <v>637</v>
      </c>
    </row>
    <row r="125" spans="1:3">
      <c r="B125">
        <v>3</v>
      </c>
      <c r="C125" s="16" t="s">
        <v>632</v>
      </c>
    </row>
    <row r="126" spans="1:3">
      <c r="C126" t="s">
        <v>650</v>
      </c>
    </row>
    <row r="127" spans="1:3">
      <c r="C127" t="s">
        <v>647</v>
      </c>
    </row>
    <row r="129" spans="2:3">
      <c r="B129">
        <v>4</v>
      </c>
      <c r="C129" s="16" t="s">
        <v>633</v>
      </c>
    </row>
    <row r="130" spans="2:3">
      <c r="C130" t="s">
        <v>644</v>
      </c>
    </row>
    <row r="131" spans="2:3">
      <c r="C131" t="s">
        <v>645</v>
      </c>
    </row>
    <row r="132" spans="2:3">
      <c r="C132" t="s">
        <v>646</v>
      </c>
    </row>
    <row r="133" spans="2:3">
      <c r="C133" t="s">
        <v>736</v>
      </c>
    </row>
    <row r="134" spans="2:3">
      <c r="C134" t="s">
        <v>647</v>
      </c>
    </row>
    <row r="136" spans="2:3">
      <c r="B136">
        <v>5</v>
      </c>
      <c r="C136" s="16" t="s">
        <v>651</v>
      </c>
    </row>
    <row r="137" spans="2:3">
      <c r="C137" s="61" t="s">
        <v>735</v>
      </c>
    </row>
    <row r="139" spans="2:3">
      <c r="B139">
        <v>6</v>
      </c>
      <c r="C139" s="16" t="s">
        <v>649</v>
      </c>
    </row>
    <row r="140" spans="2:3">
      <c r="C140" t="s">
        <v>1496</v>
      </c>
    </row>
    <row r="141" spans="2:3">
      <c r="C141" t="s">
        <v>1495</v>
      </c>
    </row>
    <row r="142" spans="2:3">
      <c r="C142" t="s">
        <v>1497</v>
      </c>
    </row>
    <row r="143" spans="2:3">
      <c r="C143" t="s">
        <v>1498</v>
      </c>
    </row>
    <row r="144" spans="2:3">
      <c r="C144" s="61"/>
    </row>
    <row r="146" spans="1:3">
      <c r="A146" s="16" t="s">
        <v>654</v>
      </c>
    </row>
    <row r="147" spans="1:3">
      <c r="B147">
        <v>1</v>
      </c>
      <c r="C147" t="s">
        <v>655</v>
      </c>
    </row>
    <row r="148" spans="1:3">
      <c r="B148">
        <v>2</v>
      </c>
      <c r="C148" t="s">
        <v>656</v>
      </c>
    </row>
    <row r="149" spans="1:3">
      <c r="B149">
        <v>3</v>
      </c>
      <c r="C149" t="s">
        <v>657</v>
      </c>
    </row>
    <row r="153" spans="1:3">
      <c r="A153" s="16" t="s">
        <v>1492</v>
      </c>
    </row>
    <row r="154" spans="1:3">
      <c r="B154" t="s">
        <v>1493</v>
      </c>
    </row>
    <row r="155" spans="1:3">
      <c r="C155" t="s">
        <v>1494</v>
      </c>
    </row>
    <row r="160" spans="1:3">
      <c r="A160" s="16" t="s">
        <v>702</v>
      </c>
    </row>
    <row r="161" spans="2:6">
      <c r="B161" s="16" t="s">
        <v>704</v>
      </c>
      <c r="F161" s="16" t="s">
        <v>705</v>
      </c>
    </row>
    <row r="162" spans="2:6">
      <c r="B162" t="s">
        <v>703</v>
      </c>
      <c r="F162" t="s">
        <v>792</v>
      </c>
    </row>
    <row r="163" spans="2:6">
      <c r="B163" t="s">
        <v>722</v>
      </c>
      <c r="F163" t="s">
        <v>706</v>
      </c>
    </row>
    <row r="164" spans="2:6">
      <c r="B164" t="s">
        <v>723</v>
      </c>
      <c r="F164" t="s">
        <v>724</v>
      </c>
    </row>
    <row r="165" spans="2:6">
      <c r="B165" t="s">
        <v>725</v>
      </c>
      <c r="F165" t="s">
        <v>726</v>
      </c>
    </row>
    <row r="166" spans="2:6">
      <c r="B166" t="s">
        <v>727</v>
      </c>
      <c r="F166" t="s">
        <v>728</v>
      </c>
    </row>
    <row r="167" spans="2:6">
      <c r="B167" t="s">
        <v>729</v>
      </c>
      <c r="F167" t="s">
        <v>730</v>
      </c>
    </row>
    <row r="169" spans="2:6">
      <c r="B169" s="16" t="s">
        <v>707</v>
      </c>
      <c r="F169" s="16" t="s">
        <v>705</v>
      </c>
    </row>
    <row r="170" spans="2:6">
      <c r="B170" t="s">
        <v>708</v>
      </c>
      <c r="F170" t="s">
        <v>715</v>
      </c>
    </row>
    <row r="171" spans="2:6">
      <c r="B171" t="s">
        <v>709</v>
      </c>
      <c r="F171" t="s">
        <v>716</v>
      </c>
    </row>
    <row r="172" spans="2:6">
      <c r="B172" t="s">
        <v>710</v>
      </c>
      <c r="F172" t="s">
        <v>717</v>
      </c>
    </row>
    <row r="173" spans="2:6">
      <c r="B173" t="s">
        <v>711</v>
      </c>
      <c r="F173" t="s">
        <v>718</v>
      </c>
    </row>
    <row r="174" spans="2:6">
      <c r="B174" t="s">
        <v>793</v>
      </c>
      <c r="F174" t="s">
        <v>718</v>
      </c>
    </row>
    <row r="175" spans="2:6">
      <c r="B175" t="s">
        <v>712</v>
      </c>
      <c r="F175" t="s">
        <v>721</v>
      </c>
    </row>
    <row r="176" spans="2:6">
      <c r="B176" t="s">
        <v>713</v>
      </c>
      <c r="F176" t="s">
        <v>719</v>
      </c>
    </row>
    <row r="177" spans="1:12">
      <c r="B177" t="s">
        <v>714</v>
      </c>
      <c r="F177" t="s">
        <v>720</v>
      </c>
    </row>
    <row r="178" spans="1:12">
      <c r="B178" t="s">
        <v>809</v>
      </c>
      <c r="F178" t="s">
        <v>810</v>
      </c>
    </row>
    <row r="181" spans="1:12">
      <c r="A181" s="16" t="s">
        <v>800</v>
      </c>
    </row>
    <row r="183" spans="1:12">
      <c r="B183" s="67" t="s">
        <v>801</v>
      </c>
      <c r="C183" s="35"/>
      <c r="D183" s="35"/>
      <c r="E183" s="34"/>
      <c r="F183" s="68" t="s">
        <v>802</v>
      </c>
      <c r="G183" s="35"/>
      <c r="H183" s="34"/>
      <c r="I183" s="65" t="s">
        <v>808</v>
      </c>
      <c r="J183" s="35"/>
      <c r="K183" s="35"/>
      <c r="L183" s="34"/>
    </row>
    <row r="184" spans="1:12">
      <c r="B184" s="67" t="s">
        <v>806</v>
      </c>
      <c r="C184" s="35"/>
      <c r="D184" s="35"/>
      <c r="E184" s="34"/>
      <c r="F184" s="35" t="s">
        <v>820</v>
      </c>
      <c r="G184" s="35"/>
      <c r="H184" s="34"/>
      <c r="I184" s="39"/>
      <c r="J184" s="35"/>
      <c r="K184" s="35"/>
      <c r="L184" s="34"/>
    </row>
    <row r="185" spans="1:12">
      <c r="B185" s="67" t="s">
        <v>804</v>
      </c>
      <c r="C185" s="35"/>
      <c r="D185" s="35"/>
      <c r="E185" s="34"/>
      <c r="F185" s="35" t="s">
        <v>819</v>
      </c>
      <c r="G185" s="35"/>
      <c r="H185" s="34"/>
      <c r="I185" s="67" t="s">
        <v>805</v>
      </c>
      <c r="J185" s="35"/>
      <c r="K185" s="35"/>
      <c r="L185" s="34"/>
    </row>
    <row r="186" spans="1:12">
      <c r="B186" s="67" t="s">
        <v>803</v>
      </c>
      <c r="C186" s="35"/>
      <c r="D186" s="35"/>
      <c r="E186" s="34"/>
      <c r="F186" s="35">
        <v>2</v>
      </c>
      <c r="G186" s="35"/>
      <c r="H186" s="34"/>
      <c r="I186" s="39" t="s">
        <v>807</v>
      </c>
      <c r="J186" s="35"/>
      <c r="K186" s="35"/>
      <c r="L186" s="34"/>
    </row>
    <row r="187" spans="1:12">
      <c r="B187" s="66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spans="1:12">
      <c r="B188" s="16"/>
    </row>
    <row r="189" spans="1:12">
      <c r="A189" s="16" t="s">
        <v>813</v>
      </c>
    </row>
    <row r="191" spans="1:12">
      <c r="B191">
        <v>1</v>
      </c>
      <c r="C191" t="s">
        <v>814</v>
      </c>
    </row>
    <row r="192" spans="1:12">
      <c r="B192">
        <v>2</v>
      </c>
      <c r="C192" t="s">
        <v>815</v>
      </c>
    </row>
    <row r="193" spans="1:3">
      <c r="B193">
        <v>3</v>
      </c>
      <c r="C193" t="s">
        <v>816</v>
      </c>
    </row>
    <row r="194" spans="1:3">
      <c r="B194">
        <v>4</v>
      </c>
      <c r="C194" t="s">
        <v>817</v>
      </c>
    </row>
    <row r="195" spans="1:3">
      <c r="B195">
        <v>5</v>
      </c>
      <c r="C195" t="s">
        <v>818</v>
      </c>
    </row>
    <row r="198" spans="1:3">
      <c r="A198" s="16" t="s">
        <v>833</v>
      </c>
      <c r="B198" s="16"/>
    </row>
    <row r="200" spans="1:3">
      <c r="B200">
        <v>1</v>
      </c>
      <c r="C200" t="s">
        <v>834</v>
      </c>
    </row>
    <row r="201" spans="1:3">
      <c r="B201">
        <v>2</v>
      </c>
      <c r="C201" t="s">
        <v>835</v>
      </c>
    </row>
    <row r="202" spans="1:3">
      <c r="B202">
        <v>3</v>
      </c>
      <c r="C202" t="s">
        <v>836</v>
      </c>
    </row>
    <row r="203" spans="1:3">
      <c r="B203">
        <v>4</v>
      </c>
      <c r="C203" t="s">
        <v>837</v>
      </c>
    </row>
    <row r="206" spans="1:3">
      <c r="A206" s="16" t="s">
        <v>852</v>
      </c>
    </row>
    <row r="207" spans="1:3">
      <c r="B207" t="s">
        <v>853</v>
      </c>
    </row>
    <row r="208" spans="1:3">
      <c r="C208" t="s">
        <v>854</v>
      </c>
    </row>
    <row r="209" spans="1:11">
      <c r="C209" t="s">
        <v>855</v>
      </c>
    </row>
    <row r="212" spans="1:11">
      <c r="A212" s="16" t="s">
        <v>0</v>
      </c>
    </row>
    <row r="213" spans="1:11">
      <c r="B213" t="s">
        <v>1272</v>
      </c>
    </row>
    <row r="214" spans="1:11">
      <c r="B214" s="16" t="s">
        <v>1268</v>
      </c>
    </row>
    <row r="215" spans="1:11">
      <c r="B215" s="94"/>
    </row>
    <row r="216" spans="1:11">
      <c r="B216" s="48" t="s">
        <v>1205</v>
      </c>
      <c r="C216" s="5"/>
      <c r="D216" s="5"/>
      <c r="E216" s="6"/>
      <c r="G216" s="48" t="s">
        <v>1206</v>
      </c>
      <c r="H216" s="5"/>
      <c r="I216" s="5"/>
      <c r="J216" s="6"/>
      <c r="K216" s="7"/>
    </row>
    <row r="217" spans="1:11">
      <c r="B217" s="3" t="s">
        <v>1269</v>
      </c>
      <c r="C217" s="7"/>
      <c r="D217" s="7"/>
      <c r="E217" s="8"/>
      <c r="F217" t="s">
        <v>134</v>
      </c>
      <c r="G217" s="3" t="s">
        <v>1269</v>
      </c>
      <c r="H217" s="7"/>
      <c r="I217" s="7"/>
      <c r="J217" s="8"/>
      <c r="K217" s="7"/>
    </row>
    <row r="218" spans="1:11">
      <c r="B218" s="3" t="s">
        <v>1285</v>
      </c>
      <c r="C218" s="7"/>
      <c r="D218" s="7"/>
      <c r="E218" s="8"/>
      <c r="F218" t="s">
        <v>134</v>
      </c>
      <c r="G218" s="3" t="s">
        <v>1270</v>
      </c>
      <c r="H218" s="7"/>
      <c r="I218" s="7"/>
      <c r="J218" s="8"/>
      <c r="K218" s="7"/>
    </row>
    <row r="219" spans="1:11">
      <c r="B219" s="3" t="s">
        <v>1273</v>
      </c>
      <c r="C219" s="7"/>
      <c r="D219" s="7"/>
      <c r="E219" s="8"/>
      <c r="G219" s="3" t="s">
        <v>1278</v>
      </c>
      <c r="H219" s="7"/>
      <c r="I219" s="7"/>
      <c r="J219" s="8"/>
      <c r="K219" s="7"/>
    </row>
    <row r="220" spans="1:11">
      <c r="B220" s="3" t="s">
        <v>1271</v>
      </c>
      <c r="C220" s="7"/>
      <c r="D220" s="7"/>
      <c r="E220" s="8"/>
      <c r="G220" s="3" t="s">
        <v>1271</v>
      </c>
      <c r="H220" s="7"/>
      <c r="I220" s="7"/>
      <c r="J220" s="8"/>
      <c r="K220" s="7"/>
    </row>
    <row r="221" spans="1:11">
      <c r="B221" s="3"/>
      <c r="C221" s="7"/>
      <c r="D221" s="7"/>
      <c r="E221" s="8"/>
      <c r="G221" s="3"/>
      <c r="H221" s="7"/>
      <c r="I221" s="7"/>
      <c r="J221" s="8"/>
      <c r="K221" s="7"/>
    </row>
    <row r="222" spans="1:11">
      <c r="B222" s="3" t="s">
        <v>1275</v>
      </c>
      <c r="C222" s="7"/>
      <c r="D222" s="7"/>
      <c r="E222" s="8"/>
      <c r="G222" s="3" t="s">
        <v>1279</v>
      </c>
      <c r="H222" s="7"/>
      <c r="I222" s="7"/>
      <c r="J222" s="8"/>
      <c r="K222" s="7"/>
    </row>
    <row r="223" spans="1:11">
      <c r="B223" s="3" t="s">
        <v>1274</v>
      </c>
      <c r="C223" s="7"/>
      <c r="D223" s="7"/>
      <c r="E223" s="8"/>
      <c r="G223" s="3" t="s">
        <v>1277</v>
      </c>
      <c r="H223" s="7"/>
      <c r="I223" s="7"/>
      <c r="J223" s="8"/>
      <c r="K223" s="7"/>
    </row>
    <row r="224" spans="1:11">
      <c r="B224" s="4" t="s">
        <v>1276</v>
      </c>
      <c r="C224" s="10"/>
      <c r="D224" s="10"/>
      <c r="E224" s="11"/>
      <c r="G224" s="4" t="s">
        <v>1280</v>
      </c>
      <c r="H224" s="10"/>
      <c r="I224" s="10"/>
      <c r="J224" s="11"/>
      <c r="K224" s="7"/>
    </row>
    <row r="226" spans="1:5">
      <c r="B226" s="48" t="s">
        <v>1283</v>
      </c>
      <c r="C226" s="5"/>
      <c r="D226" s="5"/>
      <c r="E226" s="6"/>
    </row>
    <row r="227" spans="1:5">
      <c r="B227" s="3" t="s">
        <v>1281</v>
      </c>
      <c r="C227" s="7"/>
      <c r="D227" s="7"/>
      <c r="E227" s="8"/>
    </row>
    <row r="228" spans="1:5">
      <c r="B228" s="3" t="s">
        <v>1284</v>
      </c>
      <c r="C228" s="7"/>
      <c r="D228" s="7"/>
      <c r="E228" s="8"/>
    </row>
    <row r="229" spans="1:5">
      <c r="B229" s="3" t="s">
        <v>1282</v>
      </c>
      <c r="C229" s="7"/>
      <c r="D229" s="7"/>
      <c r="E229" s="8"/>
    </row>
    <row r="230" spans="1:5">
      <c r="B230" s="3" t="s">
        <v>1271</v>
      </c>
      <c r="C230" s="7"/>
      <c r="D230" s="7"/>
      <c r="E230" s="8"/>
    </row>
    <row r="231" spans="1:5">
      <c r="B231" s="3"/>
      <c r="C231" s="7"/>
      <c r="D231" s="7"/>
      <c r="E231" s="8"/>
    </row>
    <row r="232" spans="1:5">
      <c r="B232" s="3" t="s">
        <v>1286</v>
      </c>
      <c r="C232" s="7"/>
      <c r="D232" s="7"/>
      <c r="E232" s="8"/>
    </row>
    <row r="233" spans="1:5">
      <c r="B233" s="3" t="s">
        <v>1287</v>
      </c>
      <c r="C233" s="7"/>
      <c r="D233" s="7"/>
      <c r="E233" s="8"/>
    </row>
    <row r="234" spans="1:5">
      <c r="B234" s="4" t="s">
        <v>1276</v>
      </c>
      <c r="C234" s="10"/>
      <c r="D234" s="10"/>
      <c r="E234" s="11"/>
    </row>
    <row r="237" spans="1:5">
      <c r="A237" s="16" t="s">
        <v>1288</v>
      </c>
    </row>
    <row r="238" spans="1:5">
      <c r="B238" s="16" t="s">
        <v>1297</v>
      </c>
    </row>
    <row r="240" spans="1:5">
      <c r="C240" s="16" t="s">
        <v>1289</v>
      </c>
    </row>
    <row r="241" spans="2:4">
      <c r="D241" t="s">
        <v>1290</v>
      </c>
    </row>
    <row r="242" spans="2:4">
      <c r="D242" t="s">
        <v>1291</v>
      </c>
    </row>
    <row r="243" spans="2:4">
      <c r="D243" t="s">
        <v>1292</v>
      </c>
    </row>
    <row r="244" spans="2:4">
      <c r="D244" t="s">
        <v>1293</v>
      </c>
    </row>
    <row r="245" spans="2:4">
      <c r="D245" t="s">
        <v>1294</v>
      </c>
    </row>
    <row r="246" spans="2:4">
      <c r="D246" t="s">
        <v>1295</v>
      </c>
    </row>
    <row r="248" spans="2:4">
      <c r="C248" s="16" t="s">
        <v>1299</v>
      </c>
    </row>
    <row r="249" spans="2:4">
      <c r="D249" t="s">
        <v>1296</v>
      </c>
    </row>
    <row r="250" spans="2:4">
      <c r="D250" t="s">
        <v>1298</v>
      </c>
    </row>
    <row r="252" spans="2:4">
      <c r="B252" t="s">
        <v>1300</v>
      </c>
    </row>
    <row r="254" spans="2:4">
      <c r="C254" s="16" t="s">
        <v>1289</v>
      </c>
    </row>
    <row r="255" spans="2:4">
      <c r="D255" t="s">
        <v>1301</v>
      </c>
    </row>
    <row r="256" spans="2:4">
      <c r="D256" t="s">
        <v>1302</v>
      </c>
    </row>
    <row r="257" spans="1:4">
      <c r="D257" t="s">
        <v>1303</v>
      </c>
    </row>
    <row r="258" spans="1:4">
      <c r="D258" t="s">
        <v>1304</v>
      </c>
    </row>
    <row r="259" spans="1:4">
      <c r="D259" t="s">
        <v>1305</v>
      </c>
    </row>
    <row r="261" spans="1:4">
      <c r="C261" s="16" t="s">
        <v>1299</v>
      </c>
    </row>
    <row r="262" spans="1:4">
      <c r="D262" t="s">
        <v>1306</v>
      </c>
    </row>
    <row r="263" spans="1:4">
      <c r="D263" t="s">
        <v>1307</v>
      </c>
    </row>
    <row r="264" spans="1:4">
      <c r="D264" t="s">
        <v>1308</v>
      </c>
    </row>
    <row r="265" spans="1:4">
      <c r="D265" t="s">
        <v>1309</v>
      </c>
    </row>
    <row r="268" spans="1:4">
      <c r="A268" s="16" t="s">
        <v>1310</v>
      </c>
    </row>
    <row r="270" spans="1:4">
      <c r="B270" t="s">
        <v>1311</v>
      </c>
    </row>
    <row r="271" spans="1:4">
      <c r="B271" t="s">
        <v>1320</v>
      </c>
    </row>
    <row r="272" spans="1:4">
      <c r="B272" t="s">
        <v>1312</v>
      </c>
    </row>
    <row r="273" spans="2:2">
      <c r="B273" t="s">
        <v>1313</v>
      </c>
    </row>
    <row r="274" spans="2:2">
      <c r="B274" t="s">
        <v>1326</v>
      </c>
    </row>
    <row r="275" spans="2:2">
      <c r="B275" t="s">
        <v>1327</v>
      </c>
    </row>
    <row r="276" spans="2:2">
      <c r="B276" t="s">
        <v>1314</v>
      </c>
    </row>
    <row r="277" spans="2:2">
      <c r="B277" t="s">
        <v>1315</v>
      </c>
    </row>
    <row r="278" spans="2:2">
      <c r="B278" t="s">
        <v>1316</v>
      </c>
    </row>
    <row r="279" spans="2:2">
      <c r="B279" t="s">
        <v>1318</v>
      </c>
    </row>
    <row r="280" spans="2:2">
      <c r="B280" t="s">
        <v>1319</v>
      </c>
    </row>
    <row r="281" spans="2:2">
      <c r="B281" t="s">
        <v>1317</v>
      </c>
    </row>
    <row r="282" spans="2:2">
      <c r="B282" t="s">
        <v>1321</v>
      </c>
    </row>
    <row r="283" spans="2:2">
      <c r="B283" t="s">
        <v>1322</v>
      </c>
    </row>
    <row r="284" spans="2:2">
      <c r="B284" t="s">
        <v>1323</v>
      </c>
    </row>
    <row r="285" spans="2:2">
      <c r="B285" t="s">
        <v>1329</v>
      </c>
    </row>
    <row r="286" spans="2:2">
      <c r="B286" t="s">
        <v>1328</v>
      </c>
    </row>
    <row r="287" spans="2:2">
      <c r="B287" t="s">
        <v>1330</v>
      </c>
    </row>
    <row r="288" spans="2:2">
      <c r="B288" t="s">
        <v>1324</v>
      </c>
    </row>
    <row r="289" spans="2:2">
      <c r="B289" t="s">
        <v>1325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L226"/>
  <sheetViews>
    <sheetView topLeftCell="A212" zoomScale="145" zoomScaleNormal="145" workbookViewId="0">
      <selection activeCell="G103" sqref="G103"/>
    </sheetView>
  </sheetViews>
  <sheetFormatPr defaultRowHeight="14.4"/>
  <cols>
    <col min="3" max="3" width="10.5546875" bestFit="1" customWidth="1"/>
    <col min="4" max="4" width="10.6640625" customWidth="1"/>
    <col min="5" max="5" width="8.88671875" customWidth="1"/>
  </cols>
  <sheetData>
    <row r="2" spans="1:12">
      <c r="A2" s="16" t="s">
        <v>538</v>
      </c>
    </row>
    <row r="3" spans="1:12">
      <c r="B3" t="s">
        <v>539</v>
      </c>
    </row>
    <row r="4" spans="1:12">
      <c r="B4" t="s">
        <v>540</v>
      </c>
    </row>
    <row r="6" spans="1:12">
      <c r="B6" s="33" t="s">
        <v>544</v>
      </c>
      <c r="C6" s="34"/>
      <c r="D6" s="49" t="s">
        <v>537</v>
      </c>
    </row>
    <row r="7" spans="1:12">
      <c r="B7" s="39" t="s">
        <v>541</v>
      </c>
      <c r="C7" s="34"/>
      <c r="D7" s="24">
        <v>2300</v>
      </c>
    </row>
    <row r="8" spans="1:12">
      <c r="B8" s="39" t="s">
        <v>542</v>
      </c>
      <c r="C8" s="34"/>
      <c r="D8" s="24">
        <v>500</v>
      </c>
    </row>
    <row r="10" spans="1:12">
      <c r="A10" s="16" t="s">
        <v>586</v>
      </c>
      <c r="C10" s="53">
        <v>46008</v>
      </c>
    </row>
    <row r="11" spans="1:12">
      <c r="A11" s="16"/>
    </row>
    <row r="12" spans="1:12">
      <c r="B12" s="16" t="s">
        <v>590</v>
      </c>
      <c r="H12" s="16" t="s">
        <v>591</v>
      </c>
    </row>
    <row r="13" spans="1:12">
      <c r="B13" s="52" t="s">
        <v>587</v>
      </c>
      <c r="C13" s="49" t="s">
        <v>512</v>
      </c>
      <c r="D13" s="49" t="s">
        <v>588</v>
      </c>
      <c r="E13" s="49" t="s">
        <v>537</v>
      </c>
      <c r="F13" s="49" t="s">
        <v>589</v>
      </c>
      <c r="H13" s="52" t="s">
        <v>587</v>
      </c>
      <c r="I13" s="49" t="s">
        <v>512</v>
      </c>
      <c r="J13" s="49" t="s">
        <v>588</v>
      </c>
      <c r="K13" s="49" t="s">
        <v>537</v>
      </c>
      <c r="L13" s="49" t="s">
        <v>589</v>
      </c>
    </row>
    <row r="14" spans="1:12">
      <c r="B14" s="24">
        <v>1</v>
      </c>
      <c r="C14" s="24" t="s">
        <v>789</v>
      </c>
      <c r="D14" s="24">
        <v>0.3</v>
      </c>
      <c r="E14" s="24">
        <v>370</v>
      </c>
      <c r="F14" s="24">
        <f>D14*E14</f>
        <v>111</v>
      </c>
      <c r="H14" s="24">
        <v>1</v>
      </c>
      <c r="I14" s="24" t="s">
        <v>552</v>
      </c>
      <c r="J14" s="24">
        <v>2</v>
      </c>
      <c r="K14" s="24">
        <v>210</v>
      </c>
      <c r="L14" s="24">
        <f>J14*K14</f>
        <v>420</v>
      </c>
    </row>
    <row r="15" spans="1:12">
      <c r="B15" s="24">
        <v>2</v>
      </c>
      <c r="C15" s="24" t="s">
        <v>790</v>
      </c>
      <c r="D15" s="24">
        <v>1.8</v>
      </c>
      <c r="E15" s="24">
        <v>150</v>
      </c>
      <c r="F15" s="24">
        <f>D15*E15</f>
        <v>270</v>
      </c>
      <c r="H15" s="24">
        <v>2</v>
      </c>
      <c r="I15" s="24" t="s">
        <v>569</v>
      </c>
      <c r="J15" s="24">
        <v>1</v>
      </c>
      <c r="K15" s="24">
        <v>250</v>
      </c>
      <c r="L15" s="24">
        <f>J15*K15</f>
        <v>250</v>
      </c>
    </row>
    <row r="16" spans="1:12">
      <c r="B16" s="24">
        <v>3</v>
      </c>
      <c r="C16" s="3"/>
      <c r="D16" s="24"/>
      <c r="E16" s="24">
        <v>250</v>
      </c>
      <c r="F16" s="24">
        <f>D16*E16</f>
        <v>0</v>
      </c>
      <c r="H16" s="24">
        <v>3</v>
      </c>
      <c r="I16" s="24" t="s">
        <v>567</v>
      </c>
      <c r="J16" s="24">
        <v>1</v>
      </c>
      <c r="K16" s="24">
        <v>90</v>
      </c>
      <c r="L16" s="24">
        <f>J16*K16</f>
        <v>90</v>
      </c>
    </row>
    <row r="17" spans="1:12">
      <c r="B17" s="24">
        <v>4</v>
      </c>
      <c r="C17" s="24"/>
      <c r="D17" s="24"/>
      <c r="E17" s="24"/>
      <c r="F17" s="24">
        <f>D17*E17</f>
        <v>0</v>
      </c>
      <c r="H17" s="24">
        <v>4</v>
      </c>
      <c r="I17" s="24"/>
      <c r="J17" s="24"/>
      <c r="K17" s="24"/>
      <c r="L17" s="24">
        <f>J17*K17</f>
        <v>0</v>
      </c>
    </row>
    <row r="18" spans="1:12">
      <c r="B18" s="24">
        <v>5</v>
      </c>
      <c r="C18" s="24"/>
      <c r="D18" s="24"/>
      <c r="E18" s="24"/>
      <c r="F18" s="24">
        <f>D18*E18</f>
        <v>0</v>
      </c>
      <c r="H18" s="24">
        <v>5</v>
      </c>
      <c r="I18" s="24"/>
      <c r="J18" s="24"/>
      <c r="K18" s="24"/>
      <c r="L18" s="24">
        <f>J18*K18</f>
        <v>0</v>
      </c>
    </row>
    <row r="19" spans="1:12">
      <c r="B19" s="24"/>
      <c r="C19" s="24"/>
      <c r="D19" s="24"/>
      <c r="E19" s="24"/>
      <c r="F19" s="49">
        <f>SUM(F14:F18)</f>
        <v>381</v>
      </c>
      <c r="H19" s="24"/>
      <c r="I19" s="24"/>
      <c r="J19" s="24"/>
      <c r="K19" s="24"/>
      <c r="L19" s="49">
        <f>SUM(L14:L18)</f>
        <v>760</v>
      </c>
    </row>
    <row r="21" spans="1:12">
      <c r="B21" s="16" t="s">
        <v>594</v>
      </c>
    </row>
    <row r="22" spans="1:12">
      <c r="B22" s="52" t="s">
        <v>587</v>
      </c>
      <c r="C22" s="49" t="s">
        <v>512</v>
      </c>
      <c r="D22" s="49" t="s">
        <v>588</v>
      </c>
      <c r="E22" s="49" t="s">
        <v>537</v>
      </c>
      <c r="F22" s="49" t="s">
        <v>589</v>
      </c>
    </row>
    <row r="23" spans="1:12">
      <c r="B23" s="24">
        <v>1</v>
      </c>
      <c r="C23" s="24" t="s">
        <v>791</v>
      </c>
      <c r="D23" s="24">
        <v>2.5</v>
      </c>
      <c r="E23" s="24">
        <v>180</v>
      </c>
      <c r="F23" s="24">
        <f>D23*E23</f>
        <v>450</v>
      </c>
    </row>
    <row r="24" spans="1:12">
      <c r="B24" s="24">
        <v>2</v>
      </c>
      <c r="C24" s="39" t="s">
        <v>574</v>
      </c>
      <c r="D24" s="24">
        <v>1</v>
      </c>
      <c r="E24" s="24">
        <v>160</v>
      </c>
      <c r="F24" s="24">
        <f>D24*E24</f>
        <v>160</v>
      </c>
    </row>
    <row r="25" spans="1:12">
      <c r="B25" s="24">
        <v>3</v>
      </c>
      <c r="C25" s="3" t="s">
        <v>571</v>
      </c>
      <c r="D25" s="24">
        <v>1</v>
      </c>
      <c r="E25" s="24">
        <v>96</v>
      </c>
      <c r="F25" s="24">
        <f>D25*E25</f>
        <v>96</v>
      </c>
    </row>
    <row r="26" spans="1:12">
      <c r="B26" s="24">
        <v>4</v>
      </c>
      <c r="C26" s="3" t="s">
        <v>569</v>
      </c>
      <c r="D26" s="24">
        <v>1</v>
      </c>
      <c r="E26" s="24">
        <v>250</v>
      </c>
      <c r="F26" s="24">
        <f>D26*E26</f>
        <v>250</v>
      </c>
    </row>
    <row r="27" spans="1:12">
      <c r="B27" s="24">
        <v>5</v>
      </c>
      <c r="C27" s="24"/>
      <c r="D27" s="24"/>
      <c r="E27" s="24"/>
      <c r="F27" s="24">
        <f>D27*E27</f>
        <v>0</v>
      </c>
    </row>
    <row r="28" spans="1:12">
      <c r="B28" s="24"/>
      <c r="C28" s="24"/>
      <c r="D28" s="24"/>
      <c r="E28" s="24"/>
      <c r="F28" s="49">
        <f>SUM(F23:F27)</f>
        <v>956</v>
      </c>
    </row>
    <row r="30" spans="1:12">
      <c r="A30" s="16" t="s">
        <v>545</v>
      </c>
    </row>
    <row r="31" spans="1:12">
      <c r="B31" t="s">
        <v>559</v>
      </c>
    </row>
    <row r="32" spans="1:12">
      <c r="H32" t="s">
        <v>537</v>
      </c>
    </row>
    <row r="33" spans="1:8">
      <c r="B33" s="48" t="s">
        <v>512</v>
      </c>
      <c r="C33" s="5"/>
      <c r="D33" s="6"/>
      <c r="E33" s="49" t="s">
        <v>546</v>
      </c>
      <c r="F33" s="49" t="s">
        <v>547</v>
      </c>
      <c r="G33" s="49" t="s">
        <v>548</v>
      </c>
      <c r="H33" s="49" t="s">
        <v>543</v>
      </c>
    </row>
    <row r="34" spans="1:8">
      <c r="B34" s="39" t="s">
        <v>549</v>
      </c>
      <c r="C34" s="35"/>
      <c r="D34" s="34"/>
      <c r="E34" s="24">
        <v>23</v>
      </c>
      <c r="F34" s="24">
        <v>1</v>
      </c>
      <c r="G34" s="24">
        <v>0</v>
      </c>
      <c r="H34" s="24">
        <v>110</v>
      </c>
    </row>
    <row r="35" spans="1:8">
      <c r="B35" s="3" t="s">
        <v>550</v>
      </c>
      <c r="C35" s="7"/>
      <c r="D35" s="8"/>
      <c r="E35" s="24">
        <v>22</v>
      </c>
      <c r="F35" s="24">
        <v>2</v>
      </c>
      <c r="G35" s="24">
        <v>0</v>
      </c>
      <c r="H35" s="24">
        <v>115</v>
      </c>
    </row>
    <row r="36" spans="1:8">
      <c r="B36" s="39" t="s">
        <v>551</v>
      </c>
      <c r="C36" s="35"/>
      <c r="D36" s="34"/>
      <c r="E36" s="24">
        <v>20</v>
      </c>
      <c r="F36" s="24">
        <v>10</v>
      </c>
      <c r="G36" s="24">
        <v>0</v>
      </c>
      <c r="H36" s="24">
        <v>180</v>
      </c>
    </row>
    <row r="37" spans="1:8">
      <c r="B37" s="3" t="s">
        <v>552</v>
      </c>
      <c r="C37" s="7"/>
      <c r="D37" s="8"/>
      <c r="E37" s="24">
        <v>18</v>
      </c>
      <c r="F37" s="24">
        <v>14</v>
      </c>
      <c r="G37" s="24">
        <v>0</v>
      </c>
      <c r="H37" s="24">
        <v>210</v>
      </c>
    </row>
    <row r="38" spans="1:8">
      <c r="B38" s="39" t="s">
        <v>553</v>
      </c>
      <c r="C38" s="35"/>
      <c r="D38" s="34"/>
      <c r="E38" s="24">
        <v>20</v>
      </c>
      <c r="F38" s="24">
        <v>10</v>
      </c>
      <c r="G38" s="24">
        <v>0</v>
      </c>
      <c r="H38" s="24">
        <v>180</v>
      </c>
    </row>
    <row r="39" spans="1:8">
      <c r="B39" s="3" t="s">
        <v>554</v>
      </c>
      <c r="C39" s="7"/>
      <c r="D39" s="8"/>
      <c r="E39" s="24" t="s">
        <v>555</v>
      </c>
      <c r="F39" s="24">
        <v>11</v>
      </c>
      <c r="G39" s="24">
        <v>0.5</v>
      </c>
      <c r="H39" s="24">
        <v>150</v>
      </c>
    </row>
    <row r="40" spans="1:8">
      <c r="B40" s="39" t="s">
        <v>556</v>
      </c>
      <c r="C40" s="35"/>
      <c r="D40" s="34"/>
      <c r="E40" s="24">
        <v>17</v>
      </c>
      <c r="F40" s="24">
        <v>3</v>
      </c>
      <c r="G40" s="24">
        <v>3</v>
      </c>
      <c r="H40" s="24">
        <v>100</v>
      </c>
    </row>
    <row r="41" spans="1:8">
      <c r="B41" s="3" t="s">
        <v>557</v>
      </c>
      <c r="C41" s="7"/>
      <c r="D41" s="8"/>
      <c r="E41" s="24">
        <v>4</v>
      </c>
      <c r="F41" s="24">
        <v>3.6</v>
      </c>
      <c r="G41" s="24">
        <v>4</v>
      </c>
      <c r="H41" s="24">
        <v>65</v>
      </c>
    </row>
    <row r="42" spans="1:8">
      <c r="B42" s="39" t="s">
        <v>558</v>
      </c>
      <c r="C42" s="35"/>
      <c r="D42" s="34"/>
      <c r="E42" s="50">
        <v>70</v>
      </c>
      <c r="F42" s="50">
        <v>5</v>
      </c>
      <c r="G42" s="50">
        <v>10</v>
      </c>
      <c r="H42" s="50">
        <v>370</v>
      </c>
    </row>
    <row r="43" spans="1:8">
      <c r="B43" s="59" t="s">
        <v>788</v>
      </c>
      <c r="C43" s="35"/>
      <c r="D43" s="34"/>
      <c r="E43" s="60">
        <v>25</v>
      </c>
      <c r="F43" s="60">
        <v>30</v>
      </c>
      <c r="G43" s="60">
        <v>1</v>
      </c>
      <c r="H43" s="60">
        <v>374</v>
      </c>
    </row>
    <row r="45" spans="1:8">
      <c r="A45" s="16" t="s">
        <v>560</v>
      </c>
    </row>
    <row r="47" spans="1:8">
      <c r="B47" s="48" t="s">
        <v>512</v>
      </c>
      <c r="C47" s="5"/>
      <c r="D47" s="6"/>
      <c r="E47" s="51" t="s">
        <v>561</v>
      </c>
      <c r="F47" s="49" t="s">
        <v>562</v>
      </c>
      <c r="G47" s="49" t="s">
        <v>563</v>
      </c>
      <c r="H47" s="49" t="s">
        <v>543</v>
      </c>
    </row>
    <row r="48" spans="1:8">
      <c r="B48" s="39" t="s">
        <v>564</v>
      </c>
      <c r="C48" s="35"/>
      <c r="D48" s="34"/>
      <c r="E48" s="34">
        <v>7</v>
      </c>
      <c r="F48" s="24">
        <v>1</v>
      </c>
      <c r="G48" s="24">
        <v>78</v>
      </c>
      <c r="H48" s="24">
        <v>350</v>
      </c>
    </row>
    <row r="49" spans="1:8">
      <c r="B49" s="39" t="s">
        <v>565</v>
      </c>
      <c r="C49" s="35"/>
      <c r="D49" s="34"/>
      <c r="E49" s="34">
        <v>2.5</v>
      </c>
      <c r="F49" s="24">
        <v>0.3</v>
      </c>
      <c r="G49" s="24">
        <v>28</v>
      </c>
      <c r="H49" s="24">
        <v>130</v>
      </c>
    </row>
    <row r="50" spans="1:8">
      <c r="B50" s="39" t="s">
        <v>566</v>
      </c>
      <c r="C50" s="35"/>
      <c r="D50" s="34"/>
      <c r="E50" s="34">
        <v>13</v>
      </c>
      <c r="F50" s="24">
        <v>7</v>
      </c>
      <c r="G50" s="24">
        <v>65</v>
      </c>
      <c r="H50" s="24">
        <v>370</v>
      </c>
    </row>
    <row r="51" spans="1:8">
      <c r="B51" s="39" t="s">
        <v>567</v>
      </c>
      <c r="C51" s="35"/>
      <c r="D51" s="34"/>
      <c r="E51" s="34">
        <v>2</v>
      </c>
      <c r="F51" s="24">
        <v>0</v>
      </c>
      <c r="G51" s="24">
        <v>20</v>
      </c>
      <c r="H51" s="24">
        <v>90</v>
      </c>
    </row>
    <row r="52" spans="1:8">
      <c r="B52" s="39" t="s">
        <v>568</v>
      </c>
      <c r="C52" s="35"/>
      <c r="D52" s="34"/>
      <c r="E52" s="34">
        <v>2</v>
      </c>
      <c r="F52" s="24">
        <v>0</v>
      </c>
      <c r="G52" s="24">
        <v>21</v>
      </c>
      <c r="H52" s="24">
        <v>95</v>
      </c>
    </row>
    <row r="53" spans="1:8">
      <c r="B53" s="3" t="s">
        <v>569</v>
      </c>
      <c r="C53" s="7"/>
      <c r="D53" s="8"/>
      <c r="E53" s="34">
        <v>9</v>
      </c>
      <c r="F53" s="24">
        <v>3</v>
      </c>
      <c r="G53" s="24">
        <v>45</v>
      </c>
      <c r="H53" s="24">
        <v>250</v>
      </c>
    </row>
    <row r="54" spans="1:8">
      <c r="B54" s="39" t="s">
        <v>570</v>
      </c>
      <c r="C54" s="35"/>
      <c r="D54" s="34"/>
      <c r="E54" s="34">
        <v>11</v>
      </c>
      <c r="F54" s="24">
        <v>1</v>
      </c>
      <c r="G54" s="24">
        <v>72</v>
      </c>
      <c r="H54" s="24">
        <v>340</v>
      </c>
    </row>
    <row r="55" spans="1:8">
      <c r="B55" s="3" t="s">
        <v>571</v>
      </c>
      <c r="C55" s="7"/>
      <c r="D55" s="8"/>
      <c r="E55" s="34">
        <v>1.3</v>
      </c>
      <c r="F55" s="24">
        <v>0.3</v>
      </c>
      <c r="G55" s="24">
        <v>23</v>
      </c>
      <c r="H55" s="24">
        <v>96</v>
      </c>
    </row>
    <row r="56" spans="1:8">
      <c r="B56" s="39" t="s">
        <v>572</v>
      </c>
      <c r="C56" s="35"/>
      <c r="D56" s="34"/>
      <c r="E56" s="34">
        <v>0.3</v>
      </c>
      <c r="F56" s="24">
        <v>0.2</v>
      </c>
      <c r="G56" s="24">
        <v>14</v>
      </c>
      <c r="H56" s="24">
        <v>55</v>
      </c>
    </row>
    <row r="57" spans="1:8">
      <c r="B57" s="59" t="s">
        <v>733</v>
      </c>
      <c r="C57" s="35"/>
      <c r="D57" s="34"/>
      <c r="E57" s="60">
        <v>9.73</v>
      </c>
      <c r="F57" s="60">
        <v>25</v>
      </c>
      <c r="G57" s="60">
        <v>0.35</v>
      </c>
      <c r="H57" s="60">
        <v>139</v>
      </c>
    </row>
    <row r="59" spans="1:8">
      <c r="A59" s="16" t="s">
        <v>573</v>
      </c>
    </row>
    <row r="61" spans="1:8">
      <c r="B61" s="48" t="s">
        <v>512</v>
      </c>
      <c r="C61" s="5"/>
      <c r="D61" s="6"/>
      <c r="E61" s="49" t="s">
        <v>561</v>
      </c>
      <c r="F61" s="49" t="s">
        <v>562</v>
      </c>
      <c r="G61" s="49" t="s">
        <v>563</v>
      </c>
      <c r="H61" s="49" t="s">
        <v>543</v>
      </c>
    </row>
    <row r="62" spans="1:8">
      <c r="B62" s="39" t="s">
        <v>574</v>
      </c>
      <c r="C62" s="35"/>
      <c r="D62" s="34"/>
      <c r="E62" s="24">
        <v>2</v>
      </c>
      <c r="F62" s="24">
        <v>15</v>
      </c>
      <c r="G62" s="24">
        <v>9</v>
      </c>
      <c r="H62" s="24">
        <v>160</v>
      </c>
    </row>
    <row r="63" spans="1:8">
      <c r="B63" s="3" t="s">
        <v>575</v>
      </c>
      <c r="C63" s="7"/>
      <c r="D63" s="8"/>
      <c r="E63" s="24">
        <v>0</v>
      </c>
      <c r="F63" s="24">
        <v>100</v>
      </c>
      <c r="G63" s="24">
        <v>0</v>
      </c>
      <c r="H63" s="24">
        <v>900</v>
      </c>
    </row>
    <row r="64" spans="1:8">
      <c r="B64" s="39" t="s">
        <v>576</v>
      </c>
      <c r="C64" s="35"/>
      <c r="D64" s="34"/>
      <c r="E64" s="24">
        <v>0.5</v>
      </c>
      <c r="F64" s="24">
        <v>82</v>
      </c>
      <c r="G64" s="24">
        <v>0.5</v>
      </c>
      <c r="H64" s="24">
        <v>740</v>
      </c>
    </row>
    <row r="65" spans="1:8">
      <c r="B65" s="3" t="s">
        <v>577</v>
      </c>
      <c r="C65" s="7"/>
      <c r="D65" s="8"/>
      <c r="E65" s="24">
        <v>20</v>
      </c>
      <c r="F65" s="24">
        <v>55</v>
      </c>
      <c r="G65" s="24">
        <v>15</v>
      </c>
      <c r="H65" s="24">
        <v>600</v>
      </c>
    </row>
    <row r="66" spans="1:8">
      <c r="B66" s="39" t="s">
        <v>578</v>
      </c>
      <c r="C66" s="35"/>
      <c r="D66" s="34"/>
      <c r="E66" s="24">
        <v>25</v>
      </c>
      <c r="F66" s="24">
        <v>50</v>
      </c>
      <c r="G66" s="24">
        <v>20</v>
      </c>
      <c r="H66" s="24">
        <v>600</v>
      </c>
    </row>
    <row r="67" spans="1:8">
      <c r="B67" s="4" t="s">
        <v>579</v>
      </c>
      <c r="C67" s="10"/>
      <c r="D67" s="11"/>
      <c r="E67" s="24">
        <v>20</v>
      </c>
      <c r="F67" s="24">
        <v>30</v>
      </c>
      <c r="G67" s="24">
        <v>10</v>
      </c>
      <c r="H67" s="24">
        <v>450</v>
      </c>
    </row>
    <row r="68" spans="1:8">
      <c r="B68" s="59" t="s">
        <v>732</v>
      </c>
      <c r="C68" s="35"/>
      <c r="D68" s="34"/>
      <c r="E68" s="60">
        <v>2.4500000000000002</v>
      </c>
      <c r="F68" s="60">
        <v>75</v>
      </c>
      <c r="G68" s="60">
        <v>0.39</v>
      </c>
      <c r="H68" s="24">
        <v>282</v>
      </c>
    </row>
    <row r="70" spans="1:8">
      <c r="A70" s="16" t="s">
        <v>580</v>
      </c>
    </row>
    <row r="72" spans="1:8">
      <c r="B72" s="48" t="s">
        <v>512</v>
      </c>
      <c r="C72" s="5"/>
      <c r="D72" s="6"/>
      <c r="E72" s="49" t="s">
        <v>561</v>
      </c>
      <c r="F72" s="49" t="s">
        <v>562</v>
      </c>
      <c r="G72" s="49" t="s">
        <v>563</v>
      </c>
      <c r="H72" s="49" t="s">
        <v>543</v>
      </c>
    </row>
    <row r="73" spans="1:8">
      <c r="B73" s="39" t="s">
        <v>581</v>
      </c>
      <c r="C73" s="35"/>
      <c r="D73" s="34"/>
      <c r="E73" s="24">
        <v>3</v>
      </c>
      <c r="F73" s="24">
        <v>0</v>
      </c>
      <c r="G73" s="24">
        <v>7</v>
      </c>
      <c r="H73" s="24">
        <v>35</v>
      </c>
    </row>
    <row r="74" spans="1:8">
      <c r="B74" s="3" t="s">
        <v>582</v>
      </c>
      <c r="C74" s="7"/>
      <c r="D74" s="8"/>
      <c r="E74" s="24">
        <v>3</v>
      </c>
      <c r="F74" s="24">
        <v>0.3</v>
      </c>
      <c r="G74" s="24">
        <v>3</v>
      </c>
      <c r="H74" s="24">
        <v>25</v>
      </c>
    </row>
    <row r="75" spans="1:8">
      <c r="B75" s="39" t="s">
        <v>583</v>
      </c>
      <c r="C75" s="35"/>
      <c r="D75" s="34"/>
      <c r="E75" s="24">
        <v>1</v>
      </c>
      <c r="F75" s="24">
        <v>0</v>
      </c>
      <c r="G75" s="24">
        <v>4</v>
      </c>
      <c r="H75" s="24">
        <v>20</v>
      </c>
    </row>
    <row r="76" spans="1:8">
      <c r="B76" s="3" t="s">
        <v>584</v>
      </c>
      <c r="C76" s="7"/>
      <c r="D76" s="8"/>
      <c r="E76" s="24">
        <v>1</v>
      </c>
      <c r="F76" s="24">
        <v>0</v>
      </c>
      <c r="G76" s="24">
        <v>3</v>
      </c>
      <c r="H76" s="24">
        <v>15</v>
      </c>
    </row>
    <row r="77" spans="1:8">
      <c r="B77" s="39" t="s">
        <v>585</v>
      </c>
      <c r="C77" s="35"/>
      <c r="D77" s="34"/>
      <c r="E77" s="24">
        <v>1</v>
      </c>
      <c r="F77" s="24">
        <v>0</v>
      </c>
      <c r="G77" s="24">
        <v>9</v>
      </c>
      <c r="H77" s="24">
        <v>40</v>
      </c>
    </row>
    <row r="81" spans="1:12">
      <c r="A81" s="16" t="s">
        <v>1331</v>
      </c>
    </row>
    <row r="82" spans="1:12">
      <c r="B82" s="16" t="s">
        <v>1332</v>
      </c>
    </row>
    <row r="83" spans="1:12">
      <c r="C83" t="s">
        <v>1333</v>
      </c>
    </row>
    <row r="84" spans="1:12">
      <c r="C84" t="s">
        <v>1334</v>
      </c>
    </row>
    <row r="85" spans="1:12">
      <c r="C85" t="s">
        <v>1335</v>
      </c>
    </row>
    <row r="86" spans="1:12">
      <c r="C86" t="s">
        <v>1336</v>
      </c>
    </row>
    <row r="87" spans="1:12">
      <c r="C87" t="s">
        <v>1337</v>
      </c>
    </row>
    <row r="89" spans="1:12">
      <c r="B89" s="16" t="s">
        <v>1338</v>
      </c>
    </row>
    <row r="90" spans="1:12">
      <c r="C90" s="16" t="s">
        <v>590</v>
      </c>
      <c r="E90" s="16" t="s">
        <v>331</v>
      </c>
      <c r="G90" s="16" t="s">
        <v>591</v>
      </c>
      <c r="I90" s="16" t="s">
        <v>1350</v>
      </c>
      <c r="K90" s="16" t="s">
        <v>594</v>
      </c>
      <c r="L90" s="16" t="s">
        <v>1363</v>
      </c>
    </row>
    <row r="91" spans="1:12">
      <c r="C91" s="25" t="s">
        <v>1339</v>
      </c>
      <c r="E91" t="s">
        <v>1344</v>
      </c>
      <c r="G91" t="s">
        <v>1347</v>
      </c>
      <c r="I91" t="s">
        <v>1351</v>
      </c>
      <c r="K91" t="s">
        <v>1353</v>
      </c>
      <c r="L91" t="s">
        <v>1364</v>
      </c>
    </row>
    <row r="92" spans="1:12">
      <c r="C92" t="s">
        <v>1340</v>
      </c>
      <c r="E92" t="s">
        <v>1345</v>
      </c>
      <c r="G92" t="s">
        <v>1348</v>
      </c>
      <c r="I92" t="s">
        <v>1352</v>
      </c>
      <c r="K92" t="s">
        <v>1354</v>
      </c>
      <c r="L92" t="s">
        <v>1351</v>
      </c>
    </row>
    <row r="93" spans="1:12">
      <c r="C93" t="s">
        <v>1341</v>
      </c>
      <c r="E93" t="s">
        <v>1346</v>
      </c>
      <c r="G93" t="s">
        <v>1349</v>
      </c>
      <c r="K93" t="s">
        <v>1355</v>
      </c>
    </row>
    <row r="94" spans="1:12">
      <c r="C94" t="s">
        <v>1342</v>
      </c>
    </row>
    <row r="95" spans="1:12">
      <c r="C95" t="s">
        <v>1343</v>
      </c>
    </row>
    <row r="97" spans="2:7">
      <c r="C97" s="16" t="s">
        <v>1378</v>
      </c>
    </row>
    <row r="98" spans="2:7">
      <c r="D98" t="s">
        <v>1357</v>
      </c>
    </row>
    <row r="99" spans="2:7">
      <c r="D99" t="s">
        <v>1358</v>
      </c>
    </row>
    <row r="100" spans="2:7">
      <c r="D100" t="s">
        <v>1359</v>
      </c>
    </row>
    <row r="101" spans="2:7">
      <c r="D101" t="s">
        <v>1360</v>
      </c>
    </row>
    <row r="102" spans="2:7">
      <c r="D102" t="s">
        <v>1361</v>
      </c>
    </row>
    <row r="103" spans="2:7">
      <c r="D103" t="s">
        <v>1362</v>
      </c>
    </row>
    <row r="105" spans="2:7">
      <c r="B105" s="16" t="s">
        <v>1365</v>
      </c>
    </row>
    <row r="106" spans="2:7">
      <c r="C106" s="16" t="s">
        <v>590</v>
      </c>
      <c r="D106" s="16" t="s">
        <v>591</v>
      </c>
      <c r="E106" s="16" t="s">
        <v>1363</v>
      </c>
      <c r="G106" s="16" t="s">
        <v>594</v>
      </c>
    </row>
    <row r="107" spans="2:7">
      <c r="C107" t="s">
        <v>1366</v>
      </c>
      <c r="D107" t="s">
        <v>1370</v>
      </c>
      <c r="E107" t="s">
        <v>1373</v>
      </c>
      <c r="G107" t="s">
        <v>1376</v>
      </c>
    </row>
    <row r="108" spans="2:7">
      <c r="C108" t="s">
        <v>1367</v>
      </c>
      <c r="D108" t="s">
        <v>1371</v>
      </c>
      <c r="E108" t="s">
        <v>1374</v>
      </c>
      <c r="G108" t="s">
        <v>789</v>
      </c>
    </row>
    <row r="109" spans="2:7">
      <c r="C109" t="s">
        <v>1368</v>
      </c>
      <c r="D109" t="s">
        <v>1372</v>
      </c>
      <c r="E109" s="25" t="s">
        <v>1375</v>
      </c>
    </row>
    <row r="110" spans="2:7">
      <c r="C110" t="s">
        <v>1369</v>
      </c>
    </row>
    <row r="112" spans="2:7">
      <c r="C112" s="16" t="s">
        <v>1377</v>
      </c>
    </row>
    <row r="113" spans="2:4">
      <c r="D113" t="s">
        <v>1379</v>
      </c>
    </row>
    <row r="114" spans="2:4">
      <c r="D114" s="25" t="s">
        <v>1380</v>
      </c>
    </row>
    <row r="115" spans="2:4">
      <c r="D115" s="25" t="s">
        <v>1381</v>
      </c>
    </row>
    <row r="116" spans="2:4">
      <c r="D116" t="s">
        <v>1382</v>
      </c>
    </row>
    <row r="117" spans="2:4">
      <c r="D117" t="s">
        <v>1383</v>
      </c>
    </row>
    <row r="118" spans="2:4">
      <c r="D118" t="s">
        <v>1384</v>
      </c>
    </row>
    <row r="120" spans="2:4">
      <c r="B120" s="16" t="s">
        <v>1385</v>
      </c>
    </row>
    <row r="121" spans="2:4">
      <c r="C121" s="16" t="s">
        <v>1386</v>
      </c>
    </row>
    <row r="122" spans="2:4">
      <c r="D122" t="s">
        <v>1387</v>
      </c>
    </row>
    <row r="124" spans="2:4">
      <c r="C124" s="16" t="s">
        <v>1356</v>
      </c>
    </row>
    <row r="125" spans="2:4">
      <c r="D125" t="s">
        <v>1388</v>
      </c>
    </row>
    <row r="127" spans="2:4">
      <c r="D127" t="s">
        <v>1389</v>
      </c>
    </row>
    <row r="128" spans="2:4">
      <c r="D128" s="25" t="s">
        <v>1390</v>
      </c>
    </row>
    <row r="129" spans="2:5">
      <c r="D129" t="s">
        <v>1391</v>
      </c>
    </row>
    <row r="130" spans="2:5">
      <c r="D130" t="s">
        <v>1392</v>
      </c>
    </row>
    <row r="131" spans="2:5">
      <c r="D131" t="s">
        <v>1393</v>
      </c>
    </row>
    <row r="132" spans="2:5">
      <c r="D132" t="s">
        <v>1394</v>
      </c>
    </row>
    <row r="133" spans="2:5">
      <c r="D133" t="s">
        <v>1395</v>
      </c>
    </row>
    <row r="135" spans="2:5">
      <c r="B135" s="16" t="s">
        <v>1396</v>
      </c>
    </row>
    <row r="136" spans="2:5">
      <c r="C136" t="s">
        <v>1397</v>
      </c>
    </row>
    <row r="137" spans="2:5">
      <c r="C137" s="95" t="s">
        <v>1398</v>
      </c>
    </row>
    <row r="139" spans="2:5">
      <c r="C139" t="s">
        <v>1399</v>
      </c>
    </row>
    <row r="140" spans="2:5">
      <c r="D140" t="s">
        <v>790</v>
      </c>
      <c r="E140" t="s">
        <v>1403</v>
      </c>
    </row>
    <row r="141" spans="2:5">
      <c r="D141" t="s">
        <v>1400</v>
      </c>
      <c r="E141" t="s">
        <v>1404</v>
      </c>
    </row>
    <row r="142" spans="2:5">
      <c r="D142" t="s">
        <v>1401</v>
      </c>
      <c r="E142" t="s">
        <v>1344</v>
      </c>
    </row>
    <row r="143" spans="2:5">
      <c r="D143" t="s">
        <v>1402</v>
      </c>
    </row>
    <row r="145" spans="2:4">
      <c r="B145" s="16" t="s">
        <v>1405</v>
      </c>
    </row>
    <row r="146" spans="2:4">
      <c r="C146" s="16" t="s">
        <v>1356</v>
      </c>
    </row>
    <row r="147" spans="2:4">
      <c r="C147" t="s">
        <v>1406</v>
      </c>
    </row>
    <row r="149" spans="2:4">
      <c r="C149" t="s">
        <v>1407</v>
      </c>
    </row>
    <row r="150" spans="2:4">
      <c r="C150" t="s">
        <v>1408</v>
      </c>
    </row>
    <row r="151" spans="2:4">
      <c r="C151" t="s">
        <v>1409</v>
      </c>
    </row>
    <row r="152" spans="2:4">
      <c r="C152" t="s">
        <v>1410</v>
      </c>
    </row>
    <row r="153" spans="2:4">
      <c r="C153" t="s">
        <v>1411</v>
      </c>
    </row>
    <row r="154" spans="2:4">
      <c r="C154" t="s">
        <v>1384</v>
      </c>
    </row>
    <row r="156" spans="2:4">
      <c r="C156" t="s">
        <v>512</v>
      </c>
    </row>
    <row r="157" spans="2:4">
      <c r="D157" t="s">
        <v>1412</v>
      </c>
    </row>
    <row r="158" spans="2:4">
      <c r="D158" t="s">
        <v>1400</v>
      </c>
    </row>
    <row r="159" spans="2:4">
      <c r="D159" t="s">
        <v>1413</v>
      </c>
    </row>
    <row r="160" spans="2:4">
      <c r="D160" t="s">
        <v>1414</v>
      </c>
    </row>
    <row r="161" spans="2:5">
      <c r="D161" t="s">
        <v>1346</v>
      </c>
    </row>
    <row r="162" spans="2:5">
      <c r="B162" s="16" t="s">
        <v>1415</v>
      </c>
    </row>
    <row r="164" spans="2:5">
      <c r="C164" s="16" t="s">
        <v>1416</v>
      </c>
    </row>
    <row r="165" spans="2:5">
      <c r="D165" t="s">
        <v>1417</v>
      </c>
    </row>
    <row r="166" spans="2:5">
      <c r="E166" t="s">
        <v>1418</v>
      </c>
    </row>
    <row r="167" spans="2:5">
      <c r="E167" t="s">
        <v>1419</v>
      </c>
    </row>
    <row r="169" spans="2:5">
      <c r="C169" s="16" t="s">
        <v>1420</v>
      </c>
    </row>
    <row r="170" spans="2:5">
      <c r="D170" t="s">
        <v>1421</v>
      </c>
    </row>
    <row r="171" spans="2:5">
      <c r="D171" t="s">
        <v>1346</v>
      </c>
    </row>
    <row r="172" spans="2:5">
      <c r="D172" t="s">
        <v>1422</v>
      </c>
    </row>
    <row r="174" spans="2:5">
      <c r="C174" s="16" t="s">
        <v>1423</v>
      </c>
    </row>
    <row r="175" spans="2:5">
      <c r="D175" t="s">
        <v>1424</v>
      </c>
    </row>
    <row r="176" spans="2:5">
      <c r="D176" t="s">
        <v>1374</v>
      </c>
    </row>
    <row r="177" spans="2:4">
      <c r="D177" t="s">
        <v>1425</v>
      </c>
    </row>
    <row r="179" spans="2:4">
      <c r="C179" s="16" t="s">
        <v>1426</v>
      </c>
    </row>
    <row r="180" spans="2:4">
      <c r="D180" t="s">
        <v>1427</v>
      </c>
    </row>
    <row r="181" spans="2:4">
      <c r="D181" t="s">
        <v>1428</v>
      </c>
    </row>
    <row r="182" spans="2:4">
      <c r="D182" t="s">
        <v>1429</v>
      </c>
    </row>
    <row r="183" spans="2:4">
      <c r="D183" s="25" t="s">
        <v>1430</v>
      </c>
    </row>
    <row r="184" spans="2:4">
      <c r="B184" s="16" t="s">
        <v>1431</v>
      </c>
    </row>
    <row r="185" spans="2:4">
      <c r="C185" s="16" t="s">
        <v>1356</v>
      </c>
    </row>
    <row r="186" spans="2:4">
      <c r="C186" s="95" t="s">
        <v>1432</v>
      </c>
    </row>
    <row r="187" spans="2:4">
      <c r="D187" t="s">
        <v>1359</v>
      </c>
    </row>
    <row r="188" spans="2:4">
      <c r="D188" t="s">
        <v>1433</v>
      </c>
    </row>
    <row r="189" spans="2:4">
      <c r="D189" t="s">
        <v>1434</v>
      </c>
    </row>
    <row r="190" spans="2:4">
      <c r="D190" t="s">
        <v>1435</v>
      </c>
    </row>
    <row r="191" spans="2:4">
      <c r="D191" t="s">
        <v>1381</v>
      </c>
    </row>
    <row r="192" spans="2:4">
      <c r="D192" t="s">
        <v>1436</v>
      </c>
    </row>
    <row r="194" spans="2:4">
      <c r="C194" s="16" t="s">
        <v>512</v>
      </c>
    </row>
    <row r="195" spans="2:4">
      <c r="D195" t="s">
        <v>1437</v>
      </c>
    </row>
    <row r="196" spans="2:4">
      <c r="D196" t="s">
        <v>1438</v>
      </c>
    </row>
    <row r="197" spans="2:4">
      <c r="D197" t="s">
        <v>1439</v>
      </c>
    </row>
    <row r="198" spans="2:4">
      <c r="D198" t="s">
        <v>1401</v>
      </c>
    </row>
    <row r="200" spans="2:4">
      <c r="D200" t="s">
        <v>1440</v>
      </c>
    </row>
    <row r="202" spans="2:4">
      <c r="B202" s="16" t="s">
        <v>1441</v>
      </c>
    </row>
    <row r="204" spans="2:4">
      <c r="C204" s="16" t="s">
        <v>1442</v>
      </c>
    </row>
    <row r="205" spans="2:4">
      <c r="C205" t="s">
        <v>790</v>
      </c>
    </row>
    <row r="206" spans="2:4">
      <c r="C206" t="s">
        <v>1400</v>
      </c>
    </row>
    <row r="207" spans="2:4">
      <c r="C207" t="s">
        <v>1413</v>
      </c>
    </row>
    <row r="208" spans="2:4">
      <c r="C208" t="s">
        <v>1443</v>
      </c>
    </row>
    <row r="209" spans="2:5">
      <c r="C209" t="s">
        <v>1444</v>
      </c>
    </row>
    <row r="210" spans="2:5">
      <c r="C210" t="s">
        <v>1344</v>
      </c>
    </row>
    <row r="211" spans="2:5">
      <c r="C211" t="s">
        <v>1414</v>
      </c>
    </row>
    <row r="212" spans="2:5">
      <c r="C212" t="s">
        <v>1354</v>
      </c>
    </row>
    <row r="213" spans="2:5">
      <c r="C213" t="s">
        <v>1401</v>
      </c>
    </row>
    <row r="214" spans="2:5">
      <c r="C214" t="s">
        <v>1445</v>
      </c>
    </row>
    <row r="216" spans="2:5">
      <c r="B216" s="16" t="s">
        <v>1446</v>
      </c>
    </row>
    <row r="217" spans="2:5">
      <c r="C217" s="16" t="s">
        <v>1447</v>
      </c>
      <c r="E217" s="16" t="s">
        <v>1451</v>
      </c>
    </row>
    <row r="218" spans="2:5">
      <c r="C218" t="s">
        <v>1448</v>
      </c>
      <c r="E218" t="s">
        <v>1452</v>
      </c>
    </row>
    <row r="219" spans="2:5">
      <c r="C219" t="s">
        <v>1449</v>
      </c>
      <c r="E219" t="s">
        <v>1453</v>
      </c>
    </row>
    <row r="220" spans="2:5">
      <c r="C220" t="s">
        <v>1450</v>
      </c>
      <c r="E220" t="s">
        <v>1454</v>
      </c>
    </row>
    <row r="222" spans="2:5">
      <c r="B222" s="16" t="s">
        <v>1455</v>
      </c>
    </row>
    <row r="223" spans="2:5">
      <c r="C223" t="s">
        <v>1456</v>
      </c>
    </row>
    <row r="224" spans="2:5">
      <c r="D224" t="s">
        <v>1457</v>
      </c>
    </row>
    <row r="225" spans="4:4">
      <c r="D225" t="s">
        <v>1458</v>
      </c>
    </row>
    <row r="226" spans="4:4">
      <c r="D226" t="s">
        <v>1459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07"/>
  <sheetViews>
    <sheetView topLeftCell="A253" zoomScale="145" zoomScaleNormal="145" workbookViewId="0">
      <selection activeCell="H293" sqref="H293"/>
    </sheetView>
  </sheetViews>
  <sheetFormatPr defaultRowHeight="14.4"/>
  <cols>
    <col min="4" max="4" width="9.44140625" bestFit="1" customWidth="1"/>
  </cols>
  <sheetData>
    <row r="1" spans="1:4">
      <c r="A1" s="16" t="s">
        <v>603</v>
      </c>
    </row>
    <row r="2" spans="1:4">
      <c r="B2" t="s">
        <v>604</v>
      </c>
      <c r="D2" t="s">
        <v>605</v>
      </c>
    </row>
    <row r="4" spans="1:4">
      <c r="A4" s="16" t="s">
        <v>856</v>
      </c>
    </row>
    <row r="5" spans="1:4">
      <c r="B5" s="70" t="s">
        <v>857</v>
      </c>
    </row>
    <row r="6" spans="1:4">
      <c r="B6" t="s">
        <v>858</v>
      </c>
    </row>
    <row r="7" spans="1:4">
      <c r="B7" t="s">
        <v>859</v>
      </c>
    </row>
    <row r="8" spans="1:4">
      <c r="B8" t="s">
        <v>860</v>
      </c>
    </row>
    <row r="10" spans="1:4">
      <c r="B10" s="16" t="s">
        <v>861</v>
      </c>
    </row>
    <row r="11" spans="1:4">
      <c r="B11" t="s">
        <v>862</v>
      </c>
    </row>
    <row r="12" spans="1:4">
      <c r="B12" t="s">
        <v>863</v>
      </c>
    </row>
    <row r="14" spans="1:4">
      <c r="B14" s="16" t="s">
        <v>864</v>
      </c>
    </row>
    <row r="15" spans="1:4">
      <c r="B15" s="70" t="s">
        <v>865</v>
      </c>
    </row>
    <row r="16" spans="1:4">
      <c r="B16" s="70" t="s">
        <v>866</v>
      </c>
    </row>
    <row r="19" spans="1:5">
      <c r="A19" s="16" t="s">
        <v>885</v>
      </c>
    </row>
    <row r="21" spans="1:5">
      <c r="B21" t="s">
        <v>867</v>
      </c>
    </row>
    <row r="22" spans="1:5">
      <c r="C22" t="s">
        <v>868</v>
      </c>
    </row>
    <row r="24" spans="1:5">
      <c r="B24" t="s">
        <v>869</v>
      </c>
    </row>
    <row r="25" spans="1:5">
      <c r="C25" s="16" t="s">
        <v>870</v>
      </c>
    </row>
    <row r="26" spans="1:5">
      <c r="D26" t="s">
        <v>871</v>
      </c>
    </row>
    <row r="27" spans="1:5">
      <c r="D27" t="s">
        <v>872</v>
      </c>
    </row>
    <row r="28" spans="1:5">
      <c r="D28" t="s">
        <v>873</v>
      </c>
    </row>
    <row r="29" spans="1:5">
      <c r="E29" t="s">
        <v>874</v>
      </c>
    </row>
    <row r="30" spans="1:5">
      <c r="E30" t="s">
        <v>875</v>
      </c>
    </row>
    <row r="31" spans="1:5">
      <c r="E31" t="s">
        <v>876</v>
      </c>
    </row>
    <row r="32" spans="1:5">
      <c r="D32" s="22" t="s">
        <v>877</v>
      </c>
    </row>
    <row r="34" spans="2:4">
      <c r="C34" s="16" t="s">
        <v>878</v>
      </c>
    </row>
    <row r="35" spans="2:4">
      <c r="D35" t="s">
        <v>879</v>
      </c>
    </row>
    <row r="36" spans="2:4">
      <c r="D36" t="s">
        <v>880</v>
      </c>
    </row>
    <row r="37" spans="2:4">
      <c r="D37" t="s">
        <v>881</v>
      </c>
    </row>
    <row r="38" spans="2:4">
      <c r="D38" t="s">
        <v>882</v>
      </c>
    </row>
    <row r="40" spans="2:4">
      <c r="D40" s="22" t="s">
        <v>883</v>
      </c>
    </row>
    <row r="42" spans="2:4">
      <c r="B42" s="16" t="s">
        <v>884</v>
      </c>
    </row>
    <row r="44" spans="2:4">
      <c r="C44" t="s">
        <v>886</v>
      </c>
    </row>
    <row r="45" spans="2:4">
      <c r="C45" t="s">
        <v>887</v>
      </c>
    </row>
    <row r="46" spans="2:4">
      <c r="D46" t="s">
        <v>888</v>
      </c>
    </row>
    <row r="47" spans="2:4">
      <c r="D47" t="s">
        <v>889</v>
      </c>
    </row>
    <row r="48" spans="2:4">
      <c r="C48" t="s">
        <v>890</v>
      </c>
    </row>
    <row r="49" spans="2:4">
      <c r="C49" t="s">
        <v>891</v>
      </c>
    </row>
    <row r="51" spans="2:4">
      <c r="C51" s="22" t="s">
        <v>892</v>
      </c>
    </row>
    <row r="53" spans="2:4">
      <c r="B53" s="16" t="s">
        <v>893</v>
      </c>
    </row>
    <row r="54" spans="2:4">
      <c r="C54" t="s">
        <v>894</v>
      </c>
    </row>
    <row r="55" spans="2:4">
      <c r="D55" t="s">
        <v>895</v>
      </c>
    </row>
    <row r="56" spans="2:4">
      <c r="D56" t="s">
        <v>896</v>
      </c>
    </row>
    <row r="58" spans="2:4">
      <c r="C58" t="s">
        <v>897</v>
      </c>
    </row>
    <row r="59" spans="2:4">
      <c r="D59" t="s">
        <v>898</v>
      </c>
    </row>
    <row r="60" spans="2:4">
      <c r="D60" t="s">
        <v>899</v>
      </c>
    </row>
    <row r="62" spans="2:4">
      <c r="B62" s="16" t="s">
        <v>900</v>
      </c>
    </row>
    <row r="63" spans="2:4">
      <c r="B63" s="16"/>
    </row>
    <row r="64" spans="2:4">
      <c r="B64" s="16"/>
      <c r="C64" t="s">
        <v>901</v>
      </c>
    </row>
    <row r="65" spans="2:4">
      <c r="D65" s="71" t="s">
        <v>902</v>
      </c>
    </row>
    <row r="67" spans="2:4">
      <c r="C67" t="s">
        <v>903</v>
      </c>
    </row>
    <row r="68" spans="2:4">
      <c r="C68" t="s">
        <v>904</v>
      </c>
    </row>
    <row r="70" spans="2:4">
      <c r="C70" s="16" t="s">
        <v>905</v>
      </c>
    </row>
    <row r="71" spans="2:4">
      <c r="D71" t="s">
        <v>906</v>
      </c>
    </row>
    <row r="73" spans="2:4">
      <c r="B73" s="16" t="s">
        <v>907</v>
      </c>
    </row>
    <row r="74" spans="2:4">
      <c r="C74" t="s">
        <v>908</v>
      </c>
    </row>
    <row r="75" spans="2:4">
      <c r="C75" t="s">
        <v>909</v>
      </c>
    </row>
    <row r="76" spans="2:4">
      <c r="C76" t="s">
        <v>910</v>
      </c>
    </row>
    <row r="77" spans="2:4">
      <c r="C77" t="s">
        <v>911</v>
      </c>
    </row>
    <row r="79" spans="2:4">
      <c r="B79" s="16" t="s">
        <v>912</v>
      </c>
    </row>
    <row r="80" spans="2:4">
      <c r="C80" s="22" t="s">
        <v>913</v>
      </c>
    </row>
    <row r="81" spans="1:11">
      <c r="C81" s="22"/>
    </row>
    <row r="82" spans="1:11">
      <c r="E82" s="74" t="s">
        <v>920</v>
      </c>
      <c r="F82" s="6"/>
      <c r="H82" s="2" t="s">
        <v>921</v>
      </c>
      <c r="I82" s="6"/>
    </row>
    <row r="83" spans="1:11">
      <c r="C83" s="24" t="s">
        <v>533</v>
      </c>
      <c r="E83" s="72"/>
      <c r="F83" s="8"/>
      <c r="H83" s="3"/>
      <c r="I83" s="8"/>
      <c r="K83" s="24" t="s">
        <v>922</v>
      </c>
    </row>
    <row r="84" spans="1:11">
      <c r="E84" s="73"/>
      <c r="F84" s="11"/>
      <c r="H84" s="4"/>
      <c r="I84" s="11"/>
    </row>
    <row r="85" spans="1:11">
      <c r="C85" s="22"/>
    </row>
    <row r="86" spans="1:11">
      <c r="C86" s="22"/>
    </row>
    <row r="87" spans="1:11">
      <c r="B87" s="25" t="s">
        <v>919</v>
      </c>
      <c r="C87" s="22"/>
    </row>
    <row r="89" spans="1:11">
      <c r="A89" s="16" t="s">
        <v>914</v>
      </c>
    </row>
    <row r="90" spans="1:11">
      <c r="B90" t="s">
        <v>915</v>
      </c>
    </row>
    <row r="91" spans="1:11">
      <c r="B91" t="s">
        <v>916</v>
      </c>
    </row>
    <row r="92" spans="1:11">
      <c r="B92" t="s">
        <v>917</v>
      </c>
    </row>
    <row r="93" spans="1:11">
      <c r="B93" t="s">
        <v>918</v>
      </c>
    </row>
    <row r="94" spans="1:11">
      <c r="B94" t="s">
        <v>948</v>
      </c>
    </row>
    <row r="96" spans="1:11">
      <c r="A96" s="16" t="s">
        <v>923</v>
      </c>
    </row>
    <row r="98" spans="2:9">
      <c r="B98" t="s">
        <v>924</v>
      </c>
      <c r="F98" t="s">
        <v>928</v>
      </c>
    </row>
    <row r="99" spans="2:9">
      <c r="B99" t="s">
        <v>908</v>
      </c>
      <c r="F99" t="s">
        <v>929</v>
      </c>
      <c r="I99" t="s">
        <v>935</v>
      </c>
    </row>
    <row r="100" spans="2:9">
      <c r="B100" t="s">
        <v>925</v>
      </c>
      <c r="F100" t="s">
        <v>930</v>
      </c>
      <c r="I100" t="s">
        <v>934</v>
      </c>
    </row>
    <row r="101" spans="2:9">
      <c r="B101" t="s">
        <v>926</v>
      </c>
      <c r="F101" t="s">
        <v>931</v>
      </c>
    </row>
    <row r="102" spans="2:9">
      <c r="B102" t="s">
        <v>927</v>
      </c>
      <c r="F102" t="s">
        <v>932</v>
      </c>
      <c r="I102" t="s">
        <v>933</v>
      </c>
    </row>
    <row r="104" spans="2:9">
      <c r="B104" t="s">
        <v>936</v>
      </c>
    </row>
    <row r="106" spans="2:9">
      <c r="B106" s="16" t="s">
        <v>937</v>
      </c>
    </row>
    <row r="107" spans="2:9">
      <c r="C107" t="s">
        <v>938</v>
      </c>
    </row>
    <row r="108" spans="2:9">
      <c r="C108" t="s">
        <v>939</v>
      </c>
    </row>
    <row r="109" spans="2:9">
      <c r="C109" t="s">
        <v>940</v>
      </c>
    </row>
    <row r="111" spans="2:9">
      <c r="B111" s="16" t="s">
        <v>941</v>
      </c>
    </row>
    <row r="112" spans="2:9">
      <c r="C112" t="s">
        <v>942</v>
      </c>
    </row>
    <row r="114" spans="2:4">
      <c r="C114" t="s">
        <v>943</v>
      </c>
    </row>
    <row r="115" spans="2:4">
      <c r="D115" t="s">
        <v>944</v>
      </c>
    </row>
    <row r="116" spans="2:4">
      <c r="D116" t="s">
        <v>945</v>
      </c>
    </row>
    <row r="117" spans="2:4">
      <c r="D117" t="s">
        <v>946</v>
      </c>
    </row>
    <row r="118" spans="2:4">
      <c r="C118" t="s">
        <v>947</v>
      </c>
    </row>
    <row r="120" spans="2:4">
      <c r="B120" s="16" t="s">
        <v>949</v>
      </c>
    </row>
    <row r="121" spans="2:4">
      <c r="B121" t="s">
        <v>950</v>
      </c>
    </row>
    <row r="122" spans="2:4">
      <c r="C122" t="s">
        <v>951</v>
      </c>
    </row>
    <row r="123" spans="2:4">
      <c r="C123" t="s">
        <v>952</v>
      </c>
    </row>
    <row r="124" spans="2:4">
      <c r="C124" t="s">
        <v>953</v>
      </c>
    </row>
    <row r="125" spans="2:4">
      <c r="C125" t="s">
        <v>948</v>
      </c>
    </row>
    <row r="126" spans="2:4">
      <c r="C126" t="s">
        <v>954</v>
      </c>
    </row>
    <row r="128" spans="2:4">
      <c r="B128" s="16" t="s">
        <v>955</v>
      </c>
    </row>
    <row r="129" spans="1:3">
      <c r="C129" t="s">
        <v>956</v>
      </c>
    </row>
    <row r="130" spans="1:3">
      <c r="C130" t="s">
        <v>957</v>
      </c>
    </row>
    <row r="131" spans="1:3">
      <c r="C131" t="s">
        <v>958</v>
      </c>
    </row>
    <row r="132" spans="1:3">
      <c r="C132" t="s">
        <v>959</v>
      </c>
    </row>
    <row r="133" spans="1:3">
      <c r="C133" t="s">
        <v>960</v>
      </c>
    </row>
    <row r="134" spans="1:3">
      <c r="C134" t="s">
        <v>961</v>
      </c>
    </row>
    <row r="136" spans="1:3">
      <c r="A136" s="16" t="s">
        <v>962</v>
      </c>
    </row>
    <row r="137" spans="1:3">
      <c r="B137" t="s">
        <v>963</v>
      </c>
    </row>
    <row r="138" spans="1:3">
      <c r="C138" t="s">
        <v>964</v>
      </c>
    </row>
    <row r="139" spans="1:3">
      <c r="C139" t="s">
        <v>965</v>
      </c>
    </row>
    <row r="140" spans="1:3">
      <c r="C140" t="s">
        <v>966</v>
      </c>
    </row>
    <row r="142" spans="1:3">
      <c r="B142" t="s">
        <v>967</v>
      </c>
    </row>
    <row r="143" spans="1:3">
      <c r="C143" t="s">
        <v>968</v>
      </c>
    </row>
    <row r="144" spans="1:3">
      <c r="C144" t="s">
        <v>969</v>
      </c>
    </row>
    <row r="145" spans="2:4">
      <c r="C145" t="s">
        <v>970</v>
      </c>
    </row>
    <row r="146" spans="2:4">
      <c r="C146" t="s">
        <v>971</v>
      </c>
    </row>
    <row r="147" spans="2:4">
      <c r="C147" t="s">
        <v>972</v>
      </c>
    </row>
    <row r="149" spans="2:4">
      <c r="B149" t="s">
        <v>973</v>
      </c>
    </row>
    <row r="151" spans="2:4">
      <c r="B151" s="16" t="s">
        <v>974</v>
      </c>
    </row>
    <row r="152" spans="2:4">
      <c r="C152" t="s">
        <v>975</v>
      </c>
    </row>
    <row r="153" spans="2:4">
      <c r="D153" t="s">
        <v>976</v>
      </c>
    </row>
    <row r="154" spans="2:4">
      <c r="D154" t="s">
        <v>977</v>
      </c>
    </row>
    <row r="155" spans="2:4">
      <c r="D155" t="s">
        <v>978</v>
      </c>
    </row>
    <row r="157" spans="2:4">
      <c r="C157" t="s">
        <v>979</v>
      </c>
    </row>
    <row r="158" spans="2:4">
      <c r="D158" t="s">
        <v>980</v>
      </c>
    </row>
    <row r="159" spans="2:4">
      <c r="D159" t="s">
        <v>981</v>
      </c>
    </row>
    <row r="160" spans="2:4">
      <c r="D160" t="s">
        <v>982</v>
      </c>
    </row>
    <row r="162" spans="2:4">
      <c r="B162" s="16" t="s">
        <v>983</v>
      </c>
    </row>
    <row r="163" spans="2:4">
      <c r="C163" t="s">
        <v>984</v>
      </c>
    </row>
    <row r="164" spans="2:4">
      <c r="D164" t="s">
        <v>985</v>
      </c>
    </row>
    <row r="165" spans="2:4">
      <c r="D165" t="s">
        <v>986</v>
      </c>
    </row>
    <row r="166" spans="2:4">
      <c r="D166" t="s">
        <v>987</v>
      </c>
    </row>
    <row r="167" spans="2:4">
      <c r="D167" t="s">
        <v>988</v>
      </c>
    </row>
    <row r="169" spans="2:4">
      <c r="C169" t="s">
        <v>989</v>
      </c>
    </row>
    <row r="170" spans="2:4">
      <c r="D170" t="s">
        <v>990</v>
      </c>
    </row>
    <row r="171" spans="2:4">
      <c r="D171" t="s">
        <v>991</v>
      </c>
    </row>
    <row r="173" spans="2:4">
      <c r="B173" s="16" t="s">
        <v>992</v>
      </c>
    </row>
    <row r="174" spans="2:4">
      <c r="B174" s="16"/>
      <c r="C174" s="16" t="s">
        <v>995</v>
      </c>
    </row>
    <row r="175" spans="2:4">
      <c r="D175" t="s">
        <v>993</v>
      </c>
    </row>
    <row r="176" spans="2:4">
      <c r="D176" t="s">
        <v>994</v>
      </c>
    </row>
    <row r="178" spans="1:4">
      <c r="C178" s="16" t="s">
        <v>996</v>
      </c>
    </row>
    <row r="179" spans="1:4">
      <c r="D179" t="s">
        <v>997</v>
      </c>
    </row>
    <row r="180" spans="1:4">
      <c r="D180" t="s">
        <v>998</v>
      </c>
    </row>
    <row r="181" spans="1:4">
      <c r="D181" t="s">
        <v>999</v>
      </c>
    </row>
    <row r="183" spans="1:4">
      <c r="C183" s="16" t="s">
        <v>1001</v>
      </c>
    </row>
    <row r="184" spans="1:4">
      <c r="D184" t="s">
        <v>1000</v>
      </c>
    </row>
    <row r="185" spans="1:4">
      <c r="D185" t="s">
        <v>1002</v>
      </c>
    </row>
    <row r="187" spans="1:4">
      <c r="C187" s="16" t="s">
        <v>1003</v>
      </c>
    </row>
    <row r="188" spans="1:4">
      <c r="D188" t="s">
        <v>1004</v>
      </c>
    </row>
    <row r="189" spans="1:4">
      <c r="D189" t="s">
        <v>1005</v>
      </c>
    </row>
    <row r="190" spans="1:4">
      <c r="D190" t="s">
        <v>1006</v>
      </c>
    </row>
    <row r="192" spans="1:4">
      <c r="A192" s="16" t="s">
        <v>1012</v>
      </c>
    </row>
    <row r="194" spans="1:13">
      <c r="A194" s="16" t="s">
        <v>1013</v>
      </c>
    </row>
    <row r="195" spans="1:13">
      <c r="B195" s="2" t="s">
        <v>1014</v>
      </c>
      <c r="C195" s="5"/>
      <c r="D195" s="5"/>
      <c r="E195" s="5" t="s">
        <v>1015</v>
      </c>
      <c r="F195" s="5"/>
      <c r="G195" s="5"/>
      <c r="H195" s="6"/>
    </row>
    <row r="196" spans="1:13">
      <c r="B196" s="3" t="s">
        <v>1016</v>
      </c>
      <c r="C196" s="7"/>
      <c r="D196" s="7"/>
      <c r="E196" s="7" t="s">
        <v>1020</v>
      </c>
      <c r="F196" s="7"/>
      <c r="G196" s="7" t="s">
        <v>1017</v>
      </c>
      <c r="H196" s="8"/>
    </row>
    <row r="197" spans="1:13">
      <c r="B197" s="4"/>
      <c r="C197" s="10"/>
      <c r="D197" s="10"/>
      <c r="E197" s="10" t="s">
        <v>1020</v>
      </c>
      <c r="F197" s="10"/>
      <c r="G197" s="10" t="s">
        <v>1095</v>
      </c>
      <c r="H197" s="11"/>
    </row>
    <row r="198" spans="1:13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3">
      <c r="A199" s="66" t="s">
        <v>1018</v>
      </c>
      <c r="B199" s="7"/>
      <c r="C199" s="7"/>
      <c r="D199" s="7"/>
      <c r="E199" s="7"/>
      <c r="F199" s="7"/>
      <c r="G199" s="7"/>
      <c r="H199" s="7"/>
      <c r="I199" s="7"/>
      <c r="J199" s="7"/>
    </row>
    <row r="200" spans="1:13">
      <c r="B200" s="2" t="s">
        <v>1020</v>
      </c>
      <c r="C200" s="5"/>
      <c r="D200" s="5"/>
      <c r="E200" s="5" t="s">
        <v>1019</v>
      </c>
      <c r="F200" s="5"/>
      <c r="G200" s="5"/>
      <c r="H200" s="6"/>
    </row>
    <row r="201" spans="1:13">
      <c r="B201" s="4" t="s">
        <v>1021</v>
      </c>
      <c r="C201" s="10"/>
      <c r="D201" s="10"/>
      <c r="E201" s="10" t="s">
        <v>1022</v>
      </c>
      <c r="F201" s="10"/>
      <c r="G201" s="10"/>
      <c r="H201" s="11"/>
      <c r="L201">
        <v>0.25</v>
      </c>
    </row>
    <row r="202" spans="1:13">
      <c r="L202">
        <v>100</v>
      </c>
    </row>
    <row r="203" spans="1:13">
      <c r="A203" s="16" t="s">
        <v>1025</v>
      </c>
    </row>
    <row r="204" spans="1:13">
      <c r="B204" s="2" t="s">
        <v>1023</v>
      </c>
      <c r="C204" s="5"/>
      <c r="D204" s="5"/>
      <c r="E204" s="5"/>
      <c r="F204" s="5"/>
      <c r="G204" s="5"/>
      <c r="H204" s="6"/>
      <c r="K204">
        <v>10000</v>
      </c>
      <c r="L204">
        <f>L201/L202</f>
        <v>2.5000000000000001E-3</v>
      </c>
      <c r="M204">
        <f>K204*L204</f>
        <v>25</v>
      </c>
    </row>
    <row r="205" spans="1:13">
      <c r="B205" s="3"/>
      <c r="C205" s="7"/>
      <c r="D205" s="7"/>
      <c r="E205" s="7" t="s">
        <v>1024</v>
      </c>
      <c r="F205" s="7"/>
      <c r="G205" s="7"/>
      <c r="H205" s="8"/>
    </row>
    <row r="206" spans="1:13">
      <c r="B206" s="4"/>
      <c r="C206" s="10"/>
      <c r="D206" s="10"/>
      <c r="E206" s="10">
        <v>25</v>
      </c>
      <c r="F206" s="10" t="s">
        <v>1096</v>
      </c>
      <c r="G206" s="10"/>
      <c r="H206" s="11"/>
      <c r="J206" t="s">
        <v>1097</v>
      </c>
    </row>
    <row r="208" spans="1:13">
      <c r="A208" s="16" t="s">
        <v>1026</v>
      </c>
    </row>
    <row r="209" spans="1:13">
      <c r="B209" s="2" t="s">
        <v>1028</v>
      </c>
      <c r="C209" s="5"/>
      <c r="D209" s="5"/>
      <c r="E209" s="5"/>
      <c r="F209" s="5"/>
      <c r="G209" s="5"/>
      <c r="H209" s="6"/>
      <c r="J209" t="s">
        <v>1098</v>
      </c>
    </row>
    <row r="210" spans="1:13">
      <c r="B210" s="4"/>
      <c r="C210" s="10"/>
      <c r="D210" s="10"/>
      <c r="E210" s="10" t="s">
        <v>1027</v>
      </c>
      <c r="F210" s="10"/>
      <c r="G210" s="10"/>
      <c r="H210" s="11"/>
      <c r="L210">
        <v>0.75</v>
      </c>
    </row>
    <row r="211" spans="1:13">
      <c r="B211" s="7"/>
      <c r="C211" s="7"/>
      <c r="D211" s="7"/>
      <c r="E211" s="7"/>
      <c r="F211" s="7"/>
      <c r="G211" s="7"/>
      <c r="H211" s="7"/>
      <c r="L211">
        <v>100</v>
      </c>
    </row>
    <row r="212" spans="1:13">
      <c r="B212" s="2" t="s">
        <v>1029</v>
      </c>
      <c r="C212" s="5"/>
      <c r="D212" s="5"/>
      <c r="E212" s="5"/>
      <c r="F212" s="5"/>
      <c r="G212" s="5"/>
      <c r="H212" s="6"/>
      <c r="K212">
        <v>10000</v>
      </c>
      <c r="L212">
        <f>L210/L211</f>
        <v>7.4999999999999997E-3</v>
      </c>
      <c r="M212">
        <f>K212*L212</f>
        <v>75</v>
      </c>
    </row>
    <row r="213" spans="1:13">
      <c r="B213" s="3"/>
      <c r="C213" s="7" t="s">
        <v>1031</v>
      </c>
      <c r="D213" s="7"/>
      <c r="E213" s="7" t="s">
        <v>1027</v>
      </c>
      <c r="F213" s="7"/>
      <c r="G213" s="7"/>
      <c r="H213" s="8"/>
    </row>
    <row r="214" spans="1:13">
      <c r="B214" s="4"/>
      <c r="C214" s="10" t="s">
        <v>1030</v>
      </c>
      <c r="D214" s="10"/>
      <c r="E214" s="10" t="s">
        <v>1032</v>
      </c>
      <c r="F214" s="10"/>
      <c r="G214" s="10"/>
      <c r="H214" s="11"/>
    </row>
    <row r="216" spans="1:13">
      <c r="A216" s="16" t="s">
        <v>1058</v>
      </c>
    </row>
    <row r="218" spans="1:13">
      <c r="B218" s="48" t="s">
        <v>1033</v>
      </c>
      <c r="C218" s="5"/>
      <c r="D218" s="5"/>
      <c r="E218" s="5"/>
      <c r="F218" s="5"/>
      <c r="G218" s="5"/>
      <c r="H218" s="6"/>
    </row>
    <row r="219" spans="1:13">
      <c r="B219" s="3" t="s">
        <v>1034</v>
      </c>
      <c r="C219" s="7"/>
      <c r="D219" s="7"/>
      <c r="E219" s="7"/>
      <c r="F219" s="7"/>
      <c r="G219" s="7" t="s">
        <v>1035</v>
      </c>
      <c r="H219" s="8"/>
    </row>
    <row r="220" spans="1:13">
      <c r="B220" s="77" t="s">
        <v>1036</v>
      </c>
      <c r="C220" s="7"/>
      <c r="D220" s="7"/>
      <c r="E220" s="7"/>
      <c r="F220" s="7"/>
      <c r="G220" s="7"/>
      <c r="H220" s="8"/>
    </row>
    <row r="221" spans="1:13">
      <c r="B221" s="72" t="s">
        <v>1037</v>
      </c>
      <c r="C221" s="7"/>
      <c r="D221" s="7"/>
      <c r="E221" s="7"/>
      <c r="F221" s="7"/>
      <c r="G221" s="7" t="s">
        <v>1038</v>
      </c>
      <c r="H221" s="8"/>
    </row>
    <row r="222" spans="1:13">
      <c r="B222" s="3" t="s">
        <v>1039</v>
      </c>
      <c r="C222" s="7"/>
      <c r="D222" s="7"/>
      <c r="E222" s="7"/>
      <c r="F222" s="7" t="s">
        <v>134</v>
      </c>
      <c r="G222" s="7" t="s">
        <v>1040</v>
      </c>
      <c r="H222" s="8"/>
    </row>
    <row r="223" spans="1:13">
      <c r="B223" s="3" t="s">
        <v>1041</v>
      </c>
      <c r="C223" s="7"/>
      <c r="D223" s="7"/>
      <c r="E223" s="7"/>
      <c r="F223" s="7" t="s">
        <v>134</v>
      </c>
      <c r="G223" s="7" t="s">
        <v>1038</v>
      </c>
      <c r="H223" s="8"/>
    </row>
    <row r="224" spans="1:13">
      <c r="B224" s="3" t="s">
        <v>1042</v>
      </c>
      <c r="C224" s="7"/>
      <c r="D224" s="7"/>
      <c r="E224" s="7"/>
      <c r="F224" s="7"/>
      <c r="G224" s="7" t="s">
        <v>1043</v>
      </c>
      <c r="H224" s="8"/>
    </row>
    <row r="225" spans="2:11">
      <c r="B225" s="78" t="s">
        <v>1044</v>
      </c>
      <c r="C225" s="10"/>
      <c r="D225" s="10"/>
      <c r="E225" s="10"/>
      <c r="F225" s="10"/>
      <c r="G225" s="10" t="s">
        <v>1015</v>
      </c>
      <c r="H225" s="11"/>
    </row>
    <row r="227" spans="2:11">
      <c r="B227" s="48" t="s">
        <v>1045</v>
      </c>
      <c r="C227" s="5"/>
      <c r="D227" s="5"/>
      <c r="E227" s="5"/>
      <c r="F227" s="5"/>
      <c r="G227" s="5"/>
      <c r="H227" s="6"/>
    </row>
    <row r="228" spans="2:11">
      <c r="B228" s="77" t="s">
        <v>1046</v>
      </c>
      <c r="C228" s="7"/>
      <c r="D228" s="7"/>
      <c r="E228" s="7"/>
      <c r="F228" s="7"/>
      <c r="G228" s="7"/>
      <c r="H228" s="8"/>
    </row>
    <row r="229" spans="2:11">
      <c r="B229" s="72" t="s">
        <v>1047</v>
      </c>
      <c r="C229" s="7"/>
      <c r="D229" s="7"/>
      <c r="E229" s="7"/>
      <c r="F229" s="7"/>
      <c r="G229" s="7" t="s">
        <v>1048</v>
      </c>
      <c r="H229" s="8"/>
    </row>
    <row r="230" spans="2:11">
      <c r="B230" s="3" t="s">
        <v>1049</v>
      </c>
      <c r="C230" s="7"/>
      <c r="D230" s="7"/>
      <c r="E230" s="7"/>
      <c r="F230" s="7"/>
      <c r="G230" s="7" t="s">
        <v>1048</v>
      </c>
      <c r="H230" s="8"/>
    </row>
    <row r="231" spans="2:11">
      <c r="B231" s="3" t="s">
        <v>1039</v>
      </c>
      <c r="C231" s="7"/>
      <c r="D231" s="7"/>
      <c r="E231" s="7"/>
      <c r="F231" s="7" t="s">
        <v>134</v>
      </c>
      <c r="G231" s="7" t="s">
        <v>1015</v>
      </c>
      <c r="H231" s="8"/>
    </row>
    <row r="232" spans="2:11">
      <c r="B232" s="3" t="s">
        <v>1041</v>
      </c>
      <c r="C232" s="7"/>
      <c r="D232" s="7"/>
      <c r="E232" s="7"/>
      <c r="F232" s="7" t="s">
        <v>134</v>
      </c>
      <c r="G232" s="7" t="s">
        <v>1048</v>
      </c>
      <c r="H232" s="8"/>
    </row>
    <row r="233" spans="2:11">
      <c r="B233" s="3" t="s">
        <v>1050</v>
      </c>
      <c r="C233" s="7"/>
      <c r="D233" s="7"/>
      <c r="E233" s="7"/>
      <c r="F233" s="7"/>
      <c r="G233" s="7" t="s">
        <v>1051</v>
      </c>
      <c r="H233" s="8"/>
    </row>
    <row r="234" spans="2:11">
      <c r="B234" s="4" t="s">
        <v>1052</v>
      </c>
      <c r="C234" s="10"/>
      <c r="D234" s="10"/>
      <c r="E234" s="10"/>
      <c r="F234" s="10" t="s">
        <v>134</v>
      </c>
      <c r="G234" s="10" t="s">
        <v>1053</v>
      </c>
      <c r="H234" s="11"/>
    </row>
    <row r="236" spans="2:11">
      <c r="B236" s="48" t="s">
        <v>1054</v>
      </c>
      <c r="C236" s="5"/>
      <c r="D236" s="5"/>
      <c r="E236" s="5"/>
      <c r="F236" s="5"/>
      <c r="G236" s="5"/>
      <c r="H236" s="6"/>
    </row>
    <row r="237" spans="2:11">
      <c r="B237" s="72" t="s">
        <v>1047</v>
      </c>
      <c r="C237" s="7"/>
      <c r="D237" s="7"/>
      <c r="E237" s="7"/>
      <c r="F237" s="7"/>
      <c r="G237" s="7" t="s">
        <v>1055</v>
      </c>
      <c r="H237" s="8"/>
    </row>
    <row r="238" spans="2:11">
      <c r="B238" s="4" t="s">
        <v>1056</v>
      </c>
      <c r="C238" s="10"/>
      <c r="D238" s="10"/>
      <c r="E238" s="10"/>
      <c r="F238" s="10"/>
      <c r="G238" s="10" t="s">
        <v>1057</v>
      </c>
      <c r="H238" s="11"/>
    </row>
    <row r="240" spans="2:11">
      <c r="B240" s="48" t="s">
        <v>1059</v>
      </c>
      <c r="C240" s="5"/>
      <c r="D240" s="5"/>
      <c r="E240" s="5"/>
      <c r="F240" s="5"/>
      <c r="G240" s="5"/>
      <c r="H240" s="6"/>
      <c r="K240" s="25"/>
    </row>
    <row r="241" spans="2:8">
      <c r="B241" s="3" t="s">
        <v>1060</v>
      </c>
      <c r="C241" s="7"/>
      <c r="D241" s="7"/>
      <c r="E241" s="7"/>
      <c r="F241" s="7"/>
      <c r="G241" s="7" t="s">
        <v>1015</v>
      </c>
      <c r="H241" s="8"/>
    </row>
    <row r="242" spans="2:8">
      <c r="B242" s="73" t="s">
        <v>1061</v>
      </c>
      <c r="C242" s="10"/>
      <c r="D242" s="10"/>
      <c r="E242" s="10"/>
      <c r="F242" s="10"/>
      <c r="G242" s="10" t="s">
        <v>1015</v>
      </c>
      <c r="H242" s="11"/>
    </row>
    <row r="244" spans="2:8">
      <c r="B244" s="48" t="s">
        <v>1062</v>
      </c>
      <c r="C244" s="5"/>
      <c r="D244" s="5"/>
      <c r="E244" s="5"/>
      <c r="F244" s="5"/>
      <c r="G244" s="5"/>
      <c r="H244" s="6"/>
    </row>
    <row r="245" spans="2:8">
      <c r="B245" s="4" t="s">
        <v>1063</v>
      </c>
      <c r="C245" s="10"/>
      <c r="D245" s="10"/>
      <c r="E245" s="10"/>
      <c r="F245" s="10" t="s">
        <v>134</v>
      </c>
      <c r="G245" s="10" t="s">
        <v>1064</v>
      </c>
      <c r="H245" s="11"/>
    </row>
    <row r="247" spans="2:8">
      <c r="B247" s="48" t="s">
        <v>1065</v>
      </c>
      <c r="C247" s="5"/>
      <c r="D247" s="5"/>
      <c r="E247" s="5"/>
      <c r="F247" s="5"/>
      <c r="G247" s="5"/>
      <c r="H247" s="6"/>
    </row>
    <row r="248" spans="2:8">
      <c r="B248" s="4" t="s">
        <v>1066</v>
      </c>
      <c r="C248" s="10"/>
      <c r="D248" s="10"/>
      <c r="E248" s="10"/>
      <c r="F248" s="10"/>
      <c r="G248" s="10" t="s">
        <v>1015</v>
      </c>
      <c r="H248" s="11"/>
    </row>
    <row r="250" spans="2:8">
      <c r="B250" s="48" t="s">
        <v>1067</v>
      </c>
      <c r="C250" s="5"/>
      <c r="D250" s="5"/>
      <c r="E250" s="5"/>
      <c r="F250" s="5"/>
      <c r="G250" s="5"/>
      <c r="H250" s="6"/>
    </row>
    <row r="251" spans="2:8">
      <c r="B251" s="4" t="s">
        <v>1068</v>
      </c>
      <c r="C251" s="10"/>
      <c r="D251" s="10"/>
      <c r="E251" s="10"/>
      <c r="F251" s="10"/>
      <c r="G251" s="10" t="s">
        <v>1015</v>
      </c>
      <c r="H251" s="11"/>
    </row>
    <row r="254" spans="2:8">
      <c r="B254" s="16" t="s">
        <v>1069</v>
      </c>
    </row>
    <row r="256" spans="2:8">
      <c r="B256" s="48" t="s">
        <v>1070</v>
      </c>
      <c r="C256" s="5"/>
      <c r="D256" s="5"/>
      <c r="E256" s="5"/>
      <c r="F256" s="5"/>
      <c r="G256" s="5"/>
      <c r="H256" s="6"/>
    </row>
    <row r="257" spans="1:10">
      <c r="B257" s="3" t="s">
        <v>1071</v>
      </c>
      <c r="C257" s="7"/>
      <c r="D257" s="7"/>
      <c r="E257" s="7"/>
      <c r="F257" s="7"/>
      <c r="G257" s="7"/>
      <c r="H257" s="8" t="s">
        <v>1015</v>
      </c>
    </row>
    <row r="258" spans="1:10">
      <c r="B258" s="4" t="s">
        <v>1072</v>
      </c>
      <c r="C258" s="10"/>
      <c r="D258" s="10"/>
      <c r="E258" s="10"/>
      <c r="F258" s="10"/>
      <c r="G258" s="10"/>
      <c r="H258" s="11" t="s">
        <v>1064</v>
      </c>
    </row>
    <row r="260" spans="1:10">
      <c r="B260" s="48" t="s">
        <v>1058</v>
      </c>
      <c r="C260" s="5"/>
      <c r="D260" s="5"/>
      <c r="E260" s="5"/>
      <c r="F260" s="5"/>
      <c r="G260" s="5"/>
      <c r="H260" s="6"/>
    </row>
    <row r="261" spans="1:10">
      <c r="B261" s="3" t="s">
        <v>1075</v>
      </c>
      <c r="C261" s="7"/>
      <c r="D261" s="7"/>
      <c r="E261" s="7"/>
      <c r="F261" s="7"/>
      <c r="G261" s="7"/>
      <c r="H261" s="8"/>
    </row>
    <row r="262" spans="1:10">
      <c r="B262" s="3" t="s">
        <v>1076</v>
      </c>
      <c r="C262" s="7"/>
      <c r="D262" s="7"/>
      <c r="E262" s="7"/>
      <c r="F262" s="7"/>
      <c r="G262" s="7"/>
      <c r="H262" s="8" t="s">
        <v>1015</v>
      </c>
    </row>
    <row r="263" spans="1:10">
      <c r="B263" s="3" t="s">
        <v>1077</v>
      </c>
      <c r="C263" s="7"/>
      <c r="D263" s="7"/>
      <c r="E263" s="7"/>
      <c r="F263" s="7"/>
      <c r="G263" s="7"/>
      <c r="H263" s="8" t="s">
        <v>1064</v>
      </c>
    </row>
    <row r="264" spans="1:10">
      <c r="B264" s="80" t="s">
        <v>1073</v>
      </c>
      <c r="C264" s="10"/>
      <c r="D264" s="10"/>
      <c r="E264" s="10"/>
      <c r="F264" s="10"/>
      <c r="G264" s="10"/>
      <c r="H264" s="11" t="s">
        <v>1074</v>
      </c>
      <c r="J264" s="79" t="s">
        <v>1094</v>
      </c>
    </row>
    <row r="267" spans="1:10">
      <c r="A267" s="16" t="s">
        <v>1078</v>
      </c>
    </row>
    <row r="269" spans="1:10">
      <c r="B269" t="s">
        <v>1079</v>
      </c>
      <c r="H269" t="s">
        <v>1015</v>
      </c>
    </row>
    <row r="270" spans="1:10">
      <c r="B270" t="s">
        <v>1080</v>
      </c>
      <c r="H270" t="s">
        <v>1015</v>
      </c>
    </row>
    <row r="271" spans="1:10">
      <c r="B271" t="s">
        <v>1081</v>
      </c>
      <c r="G271" t="s">
        <v>134</v>
      </c>
      <c r="H271" t="s">
        <v>1015</v>
      </c>
    </row>
    <row r="272" spans="1:10">
      <c r="B272" t="s">
        <v>1082</v>
      </c>
      <c r="G272" t="s">
        <v>134</v>
      </c>
      <c r="H272" t="s">
        <v>1015</v>
      </c>
    </row>
    <row r="274" spans="1:10">
      <c r="A274" s="16" t="s">
        <v>1083</v>
      </c>
    </row>
    <row r="275" spans="1:10">
      <c r="A275" s="16"/>
      <c r="B275" s="16" t="s">
        <v>1089</v>
      </c>
    </row>
    <row r="276" spans="1:10">
      <c r="B276" t="s">
        <v>1084</v>
      </c>
      <c r="H276" t="s">
        <v>1085</v>
      </c>
      <c r="J276" s="25" t="s">
        <v>1086</v>
      </c>
    </row>
    <row r="277" spans="1:10">
      <c r="B277" t="s">
        <v>1087</v>
      </c>
      <c r="H277" t="s">
        <v>1043</v>
      </c>
    </row>
    <row r="279" spans="1:10">
      <c r="B279" s="16" t="s">
        <v>1088</v>
      </c>
    </row>
    <row r="280" spans="1:10">
      <c r="B280" t="s">
        <v>1090</v>
      </c>
      <c r="H280" t="s">
        <v>1074</v>
      </c>
    </row>
    <row r="281" spans="1:10">
      <c r="B281" t="s">
        <v>1091</v>
      </c>
      <c r="H281" t="s">
        <v>1092</v>
      </c>
    </row>
    <row r="283" spans="1:10">
      <c r="B283" s="22" t="s">
        <v>1093</v>
      </c>
      <c r="H283" t="s">
        <v>1015</v>
      </c>
    </row>
    <row r="285" spans="1:10">
      <c r="A285" s="16"/>
    </row>
    <row r="286" spans="1:10">
      <c r="A286" s="16" t="s">
        <v>1099</v>
      </c>
    </row>
    <row r="287" spans="1:10">
      <c r="B287" s="25" t="s">
        <v>1100</v>
      </c>
    </row>
    <row r="288" spans="1:10">
      <c r="C288" s="25"/>
    </row>
    <row r="289" spans="2:2">
      <c r="B289" t="s">
        <v>1102</v>
      </c>
    </row>
    <row r="290" spans="2:2">
      <c r="B290" t="s">
        <v>1103</v>
      </c>
    </row>
    <row r="291" spans="2:2">
      <c r="B291" t="s">
        <v>1104</v>
      </c>
    </row>
    <row r="292" spans="2:2">
      <c r="B292" t="s">
        <v>1105</v>
      </c>
    </row>
    <row r="295" spans="2:2">
      <c r="B295" s="16" t="s">
        <v>1106</v>
      </c>
    </row>
    <row r="296" spans="2:2">
      <c r="B296" t="s">
        <v>1107</v>
      </c>
    </row>
    <row r="297" spans="2:2">
      <c r="B297" t="s">
        <v>1108</v>
      </c>
    </row>
    <row r="298" spans="2:2">
      <c r="B298" t="s">
        <v>1109</v>
      </c>
    </row>
    <row r="299" spans="2:2">
      <c r="B299" t="s">
        <v>1110</v>
      </c>
    </row>
    <row r="300" spans="2:2">
      <c r="B300" t="s">
        <v>1111</v>
      </c>
    </row>
    <row r="301" spans="2:2">
      <c r="B301" t="s">
        <v>1112</v>
      </c>
    </row>
    <row r="304" spans="2:2">
      <c r="B304" t="s">
        <v>1113</v>
      </c>
    </row>
    <row r="305" spans="2:2">
      <c r="B305" t="s">
        <v>1114</v>
      </c>
    </row>
    <row r="306" spans="2:2">
      <c r="B306" t="s">
        <v>1115</v>
      </c>
    </row>
    <row r="307" spans="2:2">
      <c r="B307" t="s">
        <v>1116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C36"/>
  <sheetViews>
    <sheetView topLeftCell="A19" zoomScale="160" zoomScaleNormal="160" workbookViewId="0">
      <selection activeCell="D7" sqref="D7"/>
    </sheetView>
  </sheetViews>
  <sheetFormatPr defaultRowHeight="14.4"/>
  <sheetData>
    <row r="2" spans="1:3">
      <c r="A2" s="16" t="s">
        <v>675</v>
      </c>
    </row>
    <row r="4" spans="1:3">
      <c r="B4" t="s">
        <v>676</v>
      </c>
    </row>
    <row r="5" spans="1:3">
      <c r="C5" t="s">
        <v>677</v>
      </c>
    </row>
    <row r="6" spans="1:3">
      <c r="C6" t="s">
        <v>678</v>
      </c>
    </row>
    <row r="7" spans="1:3">
      <c r="C7" t="s">
        <v>679</v>
      </c>
    </row>
    <row r="9" spans="1:3">
      <c r="C9" t="s">
        <v>680</v>
      </c>
    </row>
    <row r="11" spans="1:3">
      <c r="B11" t="s">
        <v>681</v>
      </c>
    </row>
    <row r="12" spans="1:3">
      <c r="C12" t="s">
        <v>682</v>
      </c>
    </row>
    <row r="13" spans="1:3">
      <c r="C13" t="s">
        <v>683</v>
      </c>
    </row>
    <row r="14" spans="1:3">
      <c r="C14" t="s">
        <v>684</v>
      </c>
    </row>
    <row r="15" spans="1:3">
      <c r="C15" t="s">
        <v>685</v>
      </c>
    </row>
    <row r="17" spans="2:3">
      <c r="C17" t="s">
        <v>686</v>
      </c>
    </row>
    <row r="19" spans="2:3">
      <c r="B19" t="s">
        <v>687</v>
      </c>
    </row>
    <row r="20" spans="2:3">
      <c r="C20" t="s">
        <v>688</v>
      </c>
    </row>
    <row r="21" spans="2:3">
      <c r="C21" t="s">
        <v>689</v>
      </c>
    </row>
    <row r="22" spans="2:3">
      <c r="C22" t="s">
        <v>690</v>
      </c>
    </row>
    <row r="24" spans="2:3">
      <c r="B24" t="s">
        <v>691</v>
      </c>
    </row>
    <row r="25" spans="2:3">
      <c r="C25" t="s">
        <v>692</v>
      </c>
    </row>
    <row r="26" spans="2:3">
      <c r="C26" t="s">
        <v>693</v>
      </c>
    </row>
    <row r="27" spans="2:3">
      <c r="C27" t="s">
        <v>694</v>
      </c>
    </row>
    <row r="29" spans="2:3">
      <c r="B29" t="s">
        <v>695</v>
      </c>
    </row>
    <row r="30" spans="2:3">
      <c r="C30" t="s">
        <v>696</v>
      </c>
    </row>
    <row r="31" spans="2:3">
      <c r="C31" t="s">
        <v>697</v>
      </c>
    </row>
    <row r="32" spans="2:3">
      <c r="C32" t="s">
        <v>698</v>
      </c>
    </row>
    <row r="33" spans="3:3">
      <c r="C33" t="s">
        <v>699</v>
      </c>
    </row>
    <row r="34" spans="3:3">
      <c r="C34" t="s">
        <v>700</v>
      </c>
    </row>
    <row r="36" spans="3:3">
      <c r="C36" t="s">
        <v>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F14"/>
  <sheetViews>
    <sheetView zoomScale="160" zoomScaleNormal="160" workbookViewId="0">
      <selection activeCell="G8" sqref="G8"/>
    </sheetView>
  </sheetViews>
  <sheetFormatPr defaultRowHeight="14.4"/>
  <sheetData>
    <row r="2" spans="1:6">
      <c r="A2" s="16" t="s">
        <v>787</v>
      </c>
    </row>
    <row r="3" spans="1:6">
      <c r="E3" s="18"/>
      <c r="F3" s="18" t="s">
        <v>1101</v>
      </c>
    </row>
    <row r="4" spans="1:6">
      <c r="A4">
        <v>1</v>
      </c>
      <c r="B4" t="s">
        <v>777</v>
      </c>
      <c r="F4">
        <v>20</v>
      </c>
    </row>
    <row r="5" spans="1:6">
      <c r="A5">
        <v>2</v>
      </c>
      <c r="B5" t="s">
        <v>778</v>
      </c>
      <c r="F5">
        <v>40</v>
      </c>
    </row>
    <row r="6" spans="1:6">
      <c r="A6">
        <v>3</v>
      </c>
      <c r="B6" t="s">
        <v>779</v>
      </c>
      <c r="F6">
        <v>50</v>
      </c>
    </row>
    <row r="8" spans="1:6">
      <c r="A8">
        <v>1</v>
      </c>
      <c r="B8" t="s">
        <v>780</v>
      </c>
      <c r="F8">
        <v>100</v>
      </c>
    </row>
    <row r="9" spans="1:6">
      <c r="A9">
        <v>2</v>
      </c>
      <c r="B9" t="s">
        <v>781</v>
      </c>
      <c r="F9">
        <v>20</v>
      </c>
    </row>
    <row r="10" spans="1:6">
      <c r="A10">
        <v>3</v>
      </c>
      <c r="B10" t="s">
        <v>782</v>
      </c>
      <c r="F10">
        <v>8</v>
      </c>
    </row>
    <row r="11" spans="1:6">
      <c r="A11">
        <v>4</v>
      </c>
      <c r="B11" t="s">
        <v>785</v>
      </c>
      <c r="F11">
        <v>4</v>
      </c>
    </row>
    <row r="12" spans="1:6">
      <c r="A12">
        <v>5</v>
      </c>
      <c r="B12" t="s">
        <v>786</v>
      </c>
      <c r="F12">
        <v>5</v>
      </c>
    </row>
    <row r="13" spans="1:6">
      <c r="A13">
        <v>6</v>
      </c>
      <c r="B13" t="s">
        <v>784</v>
      </c>
      <c r="F13">
        <v>5</v>
      </c>
    </row>
    <row r="14" spans="1:6">
      <c r="A14">
        <v>7</v>
      </c>
      <c r="B14" t="s">
        <v>783</v>
      </c>
      <c r="F14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5:K121"/>
  <sheetViews>
    <sheetView topLeftCell="A103" zoomScale="160" zoomScaleNormal="160" workbookViewId="0">
      <selection activeCell="E112" sqref="E112"/>
    </sheetView>
  </sheetViews>
  <sheetFormatPr defaultRowHeight="14.4"/>
  <cols>
    <col min="3" max="3" width="8.88671875" customWidth="1"/>
    <col min="5" max="5" width="22.33203125" customWidth="1"/>
  </cols>
  <sheetData>
    <row r="5" spans="2:7">
      <c r="E5" t="s">
        <v>261</v>
      </c>
      <c r="F5" t="s">
        <v>1185</v>
      </c>
    </row>
    <row r="6" spans="2:7">
      <c r="E6" s="84" t="s">
        <v>1188</v>
      </c>
      <c r="F6" t="s">
        <v>1186</v>
      </c>
    </row>
    <row r="7" spans="2:7">
      <c r="E7" t="s">
        <v>1189</v>
      </c>
      <c r="F7" t="s">
        <v>1187</v>
      </c>
    </row>
    <row r="8" spans="2:7">
      <c r="E8" t="s">
        <v>1190</v>
      </c>
    </row>
    <row r="14" spans="2:7">
      <c r="B14" s="75"/>
      <c r="C14" s="75"/>
      <c r="D14" s="75"/>
      <c r="E14" s="81"/>
      <c r="F14" s="5"/>
      <c r="G14" s="6"/>
    </row>
    <row r="15" spans="2:7">
      <c r="B15" s="75"/>
      <c r="C15" s="75"/>
      <c r="D15" s="75"/>
      <c r="E15" s="82"/>
      <c r="F15" s="7"/>
      <c r="G15" s="8"/>
    </row>
    <row r="16" spans="2:7">
      <c r="B16" s="75"/>
      <c r="C16" s="75"/>
      <c r="D16" s="75"/>
      <c r="E16" s="82"/>
      <c r="F16" s="7"/>
      <c r="G16" s="8"/>
    </row>
    <row r="17" spans="1:11">
      <c r="B17" s="75"/>
      <c r="C17" s="75"/>
      <c r="D17" s="75"/>
      <c r="E17" s="82"/>
      <c r="F17" s="7"/>
      <c r="G17" s="8"/>
    </row>
    <row r="18" spans="1:11">
      <c r="B18" s="75"/>
      <c r="C18" s="76"/>
      <c r="D18" s="75"/>
      <c r="E18" s="82"/>
      <c r="F18" s="7"/>
      <c r="G18" s="8"/>
    </row>
    <row r="19" spans="1:11">
      <c r="B19" s="75"/>
      <c r="C19" s="76"/>
      <c r="D19" s="75"/>
      <c r="E19" s="82"/>
      <c r="F19" s="7"/>
      <c r="G19" s="8"/>
    </row>
    <row r="20" spans="1:11">
      <c r="B20" s="75"/>
      <c r="C20" s="75"/>
      <c r="D20" s="75"/>
      <c r="E20" s="83"/>
      <c r="F20" s="10"/>
      <c r="G20" s="11"/>
    </row>
    <row r="21" spans="1:11">
      <c r="B21" s="75"/>
      <c r="C21" s="75"/>
      <c r="D21" s="75"/>
      <c r="E21" s="85"/>
      <c r="F21" s="7"/>
      <c r="G21" s="7"/>
    </row>
    <row r="22" spans="1:11">
      <c r="B22" s="75"/>
      <c r="C22" s="75"/>
      <c r="D22" s="75"/>
      <c r="E22" s="85"/>
      <c r="F22" s="7"/>
      <c r="G22" s="7"/>
    </row>
    <row r="23" spans="1:11">
      <c r="B23" s="75"/>
      <c r="C23" s="75"/>
      <c r="D23" s="75"/>
      <c r="E23" s="85"/>
      <c r="F23" s="7"/>
      <c r="G23" s="7"/>
    </row>
    <row r="24" spans="1:11">
      <c r="B24" s="75"/>
      <c r="C24" s="75"/>
      <c r="D24" s="75"/>
      <c r="E24" s="85"/>
      <c r="F24" s="7"/>
      <c r="G24" s="7"/>
    </row>
    <row r="25" spans="1:11">
      <c r="B25" s="75"/>
      <c r="C25" s="75"/>
      <c r="D25" s="75"/>
      <c r="E25" s="85"/>
      <c r="F25" s="7"/>
      <c r="G25" s="7"/>
    </row>
    <row r="26" spans="1:11">
      <c r="B26" s="75"/>
      <c r="C26" s="75"/>
      <c r="D26" s="75"/>
      <c r="E26" s="85"/>
      <c r="F26" s="7"/>
      <c r="G26" s="7"/>
    </row>
    <row r="27" spans="1:11">
      <c r="A27" s="12" t="s">
        <v>1191</v>
      </c>
      <c r="B27" s="75"/>
      <c r="C27" s="75"/>
      <c r="D27" s="75"/>
      <c r="E27" s="75"/>
    </row>
    <row r="28" spans="1:11">
      <c r="B28" t="s">
        <v>1159</v>
      </c>
      <c r="E28" t="s">
        <v>1160</v>
      </c>
      <c r="F28" t="s">
        <v>1161</v>
      </c>
      <c r="I28" t="s">
        <v>1162</v>
      </c>
      <c r="K28" t="s">
        <v>1163</v>
      </c>
    </row>
    <row r="30" spans="1:11">
      <c r="B30" t="s">
        <v>1192</v>
      </c>
    </row>
    <row r="31" spans="1:11">
      <c r="B31" s="24" t="s">
        <v>1184</v>
      </c>
    </row>
    <row r="32" spans="1:11">
      <c r="B32" t="s">
        <v>1168</v>
      </c>
    </row>
    <row r="33" spans="1:7">
      <c r="B33" t="s">
        <v>1193</v>
      </c>
    </row>
    <row r="35" spans="1:7">
      <c r="A35" s="12" t="s">
        <v>801</v>
      </c>
    </row>
    <row r="36" spans="1:7">
      <c r="B36" t="s">
        <v>503</v>
      </c>
    </row>
    <row r="38" spans="1:7">
      <c r="A38" s="16" t="s">
        <v>1152</v>
      </c>
      <c r="F38" s="16" t="s">
        <v>1147</v>
      </c>
    </row>
    <row r="39" spans="1:7">
      <c r="B39" t="s">
        <v>1142</v>
      </c>
      <c r="G39" t="s">
        <v>1257</v>
      </c>
    </row>
    <row r="40" spans="1:7">
      <c r="B40" t="s">
        <v>1143</v>
      </c>
      <c r="G40" t="s">
        <v>1148</v>
      </c>
    </row>
    <row r="41" spans="1:7">
      <c r="B41" t="s">
        <v>1146</v>
      </c>
      <c r="G41" t="s">
        <v>1149</v>
      </c>
    </row>
    <row r="42" spans="1:7">
      <c r="B42" t="s">
        <v>1144</v>
      </c>
      <c r="G42" t="s">
        <v>1150</v>
      </c>
    </row>
    <row r="43" spans="1:7">
      <c r="B43" t="s">
        <v>1145</v>
      </c>
      <c r="G43" t="s">
        <v>1151</v>
      </c>
    </row>
    <row r="45" spans="1:7">
      <c r="A45" s="12" t="s">
        <v>1153</v>
      </c>
    </row>
    <row r="46" spans="1:7">
      <c r="B46" t="s">
        <v>1154</v>
      </c>
    </row>
    <row r="48" spans="1:7">
      <c r="A48" s="12" t="s">
        <v>1155</v>
      </c>
    </row>
    <row r="49" spans="1:4">
      <c r="B49" t="s">
        <v>1156</v>
      </c>
    </row>
    <row r="50" spans="1:4">
      <c r="B50" t="s">
        <v>1157</v>
      </c>
    </row>
    <row r="51" spans="1:4">
      <c r="B51" t="s">
        <v>1158</v>
      </c>
    </row>
    <row r="53" spans="1:4">
      <c r="A53" s="16" t="s">
        <v>1139</v>
      </c>
    </row>
    <row r="54" spans="1:4">
      <c r="A54" s="16"/>
    </row>
    <row r="55" spans="1:4">
      <c r="A55" s="16"/>
      <c r="B55" s="16" t="s">
        <v>1140</v>
      </c>
      <c r="D55" s="16" t="s">
        <v>1141</v>
      </c>
    </row>
    <row r="56" spans="1:4">
      <c r="B56" t="s">
        <v>1117</v>
      </c>
      <c r="D56" t="s">
        <v>1118</v>
      </c>
    </row>
    <row r="57" spans="1:4">
      <c r="B57" t="s">
        <v>1119</v>
      </c>
      <c r="D57" t="s">
        <v>1120</v>
      </c>
    </row>
    <row r="58" spans="1:4">
      <c r="B58" t="s">
        <v>1121</v>
      </c>
      <c r="D58" t="s">
        <v>1122</v>
      </c>
    </row>
    <row r="59" spans="1:4">
      <c r="B59" t="s">
        <v>1123</v>
      </c>
      <c r="D59" t="s">
        <v>1124</v>
      </c>
    </row>
    <row r="60" spans="1:4">
      <c r="B60" t="s">
        <v>1125</v>
      </c>
      <c r="D60" t="s">
        <v>1126</v>
      </c>
    </row>
    <row r="61" spans="1:4">
      <c r="B61" t="s">
        <v>1127</v>
      </c>
      <c r="D61" t="s">
        <v>1128</v>
      </c>
    </row>
    <row r="62" spans="1:4">
      <c r="B62" t="s">
        <v>1129</v>
      </c>
      <c r="D62" t="s">
        <v>1130</v>
      </c>
    </row>
    <row r="63" spans="1:4">
      <c r="B63" t="s">
        <v>1131</v>
      </c>
      <c r="D63" t="s">
        <v>1132</v>
      </c>
    </row>
    <row r="64" spans="1:4">
      <c r="B64" t="s">
        <v>1133</v>
      </c>
      <c r="D64" t="s">
        <v>1134</v>
      </c>
    </row>
    <row r="65" spans="1:4">
      <c r="B65" t="s">
        <v>1135</v>
      </c>
      <c r="D65" t="s">
        <v>1136</v>
      </c>
    </row>
    <row r="66" spans="1:4">
      <c r="B66" t="s">
        <v>1137</v>
      </c>
      <c r="D66" t="s">
        <v>1138</v>
      </c>
    </row>
    <row r="68" spans="1:4">
      <c r="A68" s="16" t="s">
        <v>1007</v>
      </c>
    </row>
    <row r="69" spans="1:4">
      <c r="B69" t="s">
        <v>1008</v>
      </c>
    </row>
    <row r="70" spans="1:4">
      <c r="B70" t="s">
        <v>513</v>
      </c>
    </row>
    <row r="71" spans="1:4">
      <c r="B71" t="s">
        <v>1009</v>
      </c>
    </row>
    <row r="72" spans="1:4">
      <c r="B72" t="s">
        <v>1010</v>
      </c>
    </row>
    <row r="73" spans="1:4">
      <c r="B73" t="s">
        <v>1011</v>
      </c>
    </row>
    <row r="75" spans="1:4">
      <c r="A75" s="12" t="s">
        <v>1164</v>
      </c>
    </row>
    <row r="76" spans="1:4">
      <c r="B76" t="s">
        <v>1165</v>
      </c>
    </row>
    <row r="77" spans="1:4">
      <c r="B77" t="s">
        <v>1166</v>
      </c>
    </row>
    <row r="79" spans="1:4">
      <c r="B79" s="12" t="s">
        <v>1167</v>
      </c>
    </row>
    <row r="80" spans="1:4">
      <c r="C80" t="s">
        <v>1168</v>
      </c>
    </row>
    <row r="82" spans="2:4">
      <c r="C82" t="s">
        <v>1169</v>
      </c>
    </row>
    <row r="83" spans="2:4">
      <c r="C83" t="s">
        <v>1170</v>
      </c>
    </row>
    <row r="85" spans="2:4">
      <c r="C85" s="12" t="s">
        <v>1171</v>
      </c>
    </row>
    <row r="86" spans="2:4">
      <c r="D86" t="s">
        <v>1172</v>
      </c>
    </row>
    <row r="87" spans="2:4">
      <c r="D87" t="s">
        <v>1173</v>
      </c>
    </row>
    <row r="89" spans="2:4">
      <c r="B89" s="12" t="s">
        <v>1174</v>
      </c>
    </row>
    <row r="90" spans="2:4">
      <c r="C90" t="s">
        <v>1175</v>
      </c>
    </row>
    <row r="91" spans="2:4">
      <c r="D91" s="12" t="s">
        <v>1176</v>
      </c>
    </row>
    <row r="92" spans="2:4">
      <c r="D92" t="s">
        <v>1177</v>
      </c>
    </row>
    <row r="94" spans="2:4">
      <c r="C94" t="s">
        <v>1178</v>
      </c>
    </row>
    <row r="95" spans="2:4">
      <c r="D95" s="12" t="s">
        <v>457</v>
      </c>
    </row>
    <row r="96" spans="2:4">
      <c r="D96" t="s">
        <v>1179</v>
      </c>
    </row>
    <row r="98" spans="1:9">
      <c r="B98" s="12" t="s">
        <v>1180</v>
      </c>
    </row>
    <row r="99" spans="1:9">
      <c r="C99" t="s">
        <v>1181</v>
      </c>
    </row>
    <row r="100" spans="1:9">
      <c r="C100" t="s">
        <v>1182</v>
      </c>
    </row>
    <row r="101" spans="1:9">
      <c r="C101" t="s">
        <v>1183</v>
      </c>
    </row>
    <row r="104" spans="1:9">
      <c r="A104" s="16" t="s">
        <v>1259</v>
      </c>
    </row>
    <row r="105" spans="1:9">
      <c r="B105" t="s">
        <v>1260</v>
      </c>
      <c r="D105" t="s">
        <v>1261</v>
      </c>
    </row>
    <row r="106" spans="1:9">
      <c r="B106" t="s">
        <v>1262</v>
      </c>
      <c r="D106" t="s">
        <v>1263</v>
      </c>
    </row>
    <row r="107" spans="1:9">
      <c r="B107" t="s">
        <v>1264</v>
      </c>
      <c r="D107" t="s">
        <v>1263</v>
      </c>
    </row>
    <row r="110" spans="1:9">
      <c r="A110" s="16" t="s">
        <v>1526</v>
      </c>
    </row>
    <row r="111" spans="1:9">
      <c r="A111" s="16"/>
    </row>
    <row r="112" spans="1:9">
      <c r="B112">
        <v>0</v>
      </c>
      <c r="C112" t="s">
        <v>1527</v>
      </c>
      <c r="F112" t="s">
        <v>1529</v>
      </c>
      <c r="I112" t="s">
        <v>1528</v>
      </c>
    </row>
    <row r="113" spans="2:9">
      <c r="B113">
        <v>1</v>
      </c>
      <c r="C113" t="s">
        <v>1499</v>
      </c>
      <c r="F113" t="s">
        <v>1500</v>
      </c>
      <c r="I113" t="s">
        <v>1501</v>
      </c>
    </row>
    <row r="114" spans="2:9">
      <c r="B114">
        <v>2</v>
      </c>
      <c r="C114" t="s">
        <v>1502</v>
      </c>
      <c r="F114" t="s">
        <v>1503</v>
      </c>
      <c r="I114" t="s">
        <v>1504</v>
      </c>
    </row>
    <row r="115" spans="2:9">
      <c r="B115">
        <v>3</v>
      </c>
      <c r="C115" t="s">
        <v>1505</v>
      </c>
      <c r="F115" t="s">
        <v>1506</v>
      </c>
      <c r="I115" t="s">
        <v>1507</v>
      </c>
    </row>
    <row r="116" spans="2:9">
      <c r="B116">
        <v>4</v>
      </c>
      <c r="C116" t="s">
        <v>1508</v>
      </c>
      <c r="F116" t="s">
        <v>1509</v>
      </c>
      <c r="I116" t="s">
        <v>1510</v>
      </c>
    </row>
    <row r="117" spans="2:9">
      <c r="B117">
        <v>5</v>
      </c>
      <c r="C117" t="s">
        <v>1511</v>
      </c>
      <c r="F117" t="s">
        <v>1512</v>
      </c>
      <c r="I117" t="s">
        <v>1513</v>
      </c>
    </row>
    <row r="118" spans="2:9">
      <c r="B118">
        <v>6</v>
      </c>
      <c r="C118" t="s">
        <v>1514</v>
      </c>
      <c r="F118" t="s">
        <v>1515</v>
      </c>
      <c r="I118" t="s">
        <v>1516</v>
      </c>
    </row>
    <row r="119" spans="2:9">
      <c r="B119">
        <v>7</v>
      </c>
      <c r="C119" t="s">
        <v>1517</v>
      </c>
      <c r="F119" t="s">
        <v>1518</v>
      </c>
      <c r="I119" t="s">
        <v>1519</v>
      </c>
    </row>
    <row r="120" spans="2:9">
      <c r="B120">
        <v>8</v>
      </c>
      <c r="C120" t="s">
        <v>1520</v>
      </c>
      <c r="F120" t="s">
        <v>1521</v>
      </c>
      <c r="I120" t="s">
        <v>1522</v>
      </c>
    </row>
    <row r="121" spans="2:9">
      <c r="B121">
        <v>9</v>
      </c>
      <c r="C121" t="s">
        <v>1523</v>
      </c>
      <c r="F121" t="s">
        <v>1524</v>
      </c>
      <c r="I121" t="s">
        <v>1525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topLeftCell="A10" zoomScale="160" zoomScaleNormal="160" workbookViewId="0">
      <selection activeCell="A21" sqref="A21:F21"/>
    </sheetView>
  </sheetViews>
  <sheetFormatPr defaultRowHeight="14.4"/>
  <sheetData>
    <row r="1" spans="1:10">
      <c r="A1" s="16" t="s">
        <v>753</v>
      </c>
    </row>
    <row r="2" spans="1:10">
      <c r="A2" s="16"/>
    </row>
    <row r="3" spans="1:10">
      <c r="B3" s="61">
        <v>1</v>
      </c>
      <c r="C3" s="61" t="s">
        <v>748</v>
      </c>
    </row>
    <row r="4" spans="1:10">
      <c r="B4" s="61">
        <v>2</v>
      </c>
      <c r="C4" s="61" t="s">
        <v>749</v>
      </c>
    </row>
    <row r="5" spans="1:10">
      <c r="B5" s="61">
        <v>3</v>
      </c>
      <c r="C5" s="61" t="s">
        <v>750</v>
      </c>
    </row>
    <row r="6" spans="1:10">
      <c r="B6" s="61">
        <v>4</v>
      </c>
      <c r="C6" s="61" t="s">
        <v>751</v>
      </c>
    </row>
    <row r="7" spans="1:10">
      <c r="B7" s="29">
        <v>5</v>
      </c>
      <c r="C7" s="29" t="s">
        <v>752</v>
      </c>
    </row>
    <row r="8" spans="1:10">
      <c r="B8" s="61">
        <v>6</v>
      </c>
      <c r="C8" s="61" t="s">
        <v>754</v>
      </c>
    </row>
    <row r="9" spans="1:10">
      <c r="B9" s="61"/>
    </row>
    <row r="11" spans="1:10">
      <c r="B11" t="s">
        <v>755</v>
      </c>
      <c r="D11" s="62" t="s">
        <v>756</v>
      </c>
      <c r="F11" t="s">
        <v>757</v>
      </c>
      <c r="H11" t="s">
        <v>758</v>
      </c>
      <c r="J11" t="s">
        <v>759</v>
      </c>
    </row>
    <row r="12" spans="1:10">
      <c r="B12" t="s">
        <v>760</v>
      </c>
      <c r="C12" s="62"/>
      <c r="D12" s="62" t="s">
        <v>756</v>
      </c>
      <c r="F12" t="s">
        <v>757</v>
      </c>
      <c r="G12" s="63"/>
      <c r="H12" s="25" t="s">
        <v>761</v>
      </c>
      <c r="J12" t="s">
        <v>759</v>
      </c>
    </row>
    <row r="13" spans="1:10">
      <c r="B13" t="s">
        <v>762</v>
      </c>
      <c r="C13" s="62"/>
      <c r="D13" s="62" t="s">
        <v>756</v>
      </c>
      <c r="F13" t="s">
        <v>757</v>
      </c>
      <c r="G13" s="63"/>
      <c r="H13" t="s">
        <v>763</v>
      </c>
      <c r="J13" t="s">
        <v>764</v>
      </c>
    </row>
    <row r="14" spans="1:10">
      <c r="B14" t="s">
        <v>765</v>
      </c>
      <c r="C14" s="62"/>
      <c r="D14" s="62" t="s">
        <v>766</v>
      </c>
      <c r="F14" t="s">
        <v>767</v>
      </c>
      <c r="G14" s="63"/>
      <c r="H14" t="s">
        <v>768</v>
      </c>
      <c r="J14" t="s">
        <v>759</v>
      </c>
    </row>
    <row r="15" spans="1:10">
      <c r="B15" t="s">
        <v>769</v>
      </c>
      <c r="C15" s="62"/>
      <c r="D15" s="62" t="s">
        <v>770</v>
      </c>
      <c r="F15" t="s">
        <v>771</v>
      </c>
      <c r="G15" s="63"/>
      <c r="H15" s="25" t="s">
        <v>772</v>
      </c>
      <c r="J15" t="s">
        <v>764</v>
      </c>
    </row>
    <row r="16" spans="1:10">
      <c r="B16" t="s">
        <v>773</v>
      </c>
      <c r="C16" s="62"/>
      <c r="D16" s="62" t="s">
        <v>770</v>
      </c>
      <c r="F16" t="s">
        <v>771</v>
      </c>
      <c r="G16" s="63"/>
      <c r="H16" t="s">
        <v>774</v>
      </c>
      <c r="J16" t="s">
        <v>759</v>
      </c>
    </row>
    <row r="17" spans="2:10">
      <c r="B17" s="16" t="s">
        <v>775</v>
      </c>
      <c r="C17" s="16"/>
      <c r="D17" s="64" t="s">
        <v>766</v>
      </c>
      <c r="E17" s="16"/>
      <c r="F17" s="16" t="s">
        <v>767</v>
      </c>
      <c r="G17" s="16"/>
      <c r="H17" s="16" t="s">
        <v>776</v>
      </c>
      <c r="I17" s="16"/>
      <c r="J17" s="16" t="s">
        <v>759</v>
      </c>
    </row>
    <row r="21" spans="2:10">
      <c r="E21" s="53"/>
      <c r="F21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64"/>
  <sheetViews>
    <sheetView topLeftCell="A67" zoomScale="115" zoomScaleNormal="115" workbookViewId="0">
      <selection activeCell="G80" sqref="G80"/>
    </sheetView>
  </sheetViews>
  <sheetFormatPr defaultRowHeight="14.4"/>
  <cols>
    <col min="2" max="3" width="9" customWidth="1"/>
    <col min="5" max="5" width="10.33203125" customWidth="1"/>
  </cols>
  <sheetData>
    <row r="1" spans="1:10">
      <c r="A1" s="16"/>
    </row>
    <row r="2" spans="1:10">
      <c r="A2" s="16"/>
    </row>
    <row r="3" spans="1:10">
      <c r="B3" s="52" t="s">
        <v>1553</v>
      </c>
      <c r="C3" s="52" t="s">
        <v>1554</v>
      </c>
      <c r="D3" s="52" t="s">
        <v>1555</v>
      </c>
      <c r="E3" s="52" t="s">
        <v>1556</v>
      </c>
      <c r="F3" s="52" t="s">
        <v>1557</v>
      </c>
      <c r="G3" s="52" t="s">
        <v>1558</v>
      </c>
      <c r="H3" s="52" t="s">
        <v>1559</v>
      </c>
    </row>
    <row r="4" spans="1:10">
      <c r="A4">
        <v>6</v>
      </c>
      <c r="B4" s="109" t="s">
        <v>590</v>
      </c>
      <c r="C4" s="109"/>
      <c r="D4" s="109"/>
      <c r="E4" s="109"/>
      <c r="F4" s="123" t="s">
        <v>590</v>
      </c>
      <c r="G4" s="109"/>
      <c r="H4" s="109"/>
      <c r="J4" s="111" t="s">
        <v>1580</v>
      </c>
    </row>
    <row r="5" spans="1:10">
      <c r="A5">
        <v>7</v>
      </c>
      <c r="B5" s="24"/>
      <c r="C5" s="24"/>
      <c r="D5" s="24"/>
      <c r="E5" s="24"/>
      <c r="F5" s="24"/>
      <c r="G5" s="24"/>
      <c r="H5" s="24"/>
    </row>
    <row r="6" spans="1:10">
      <c r="A6">
        <v>8</v>
      </c>
      <c r="B6" s="24" t="s">
        <v>1578</v>
      </c>
      <c r="C6" s="24"/>
      <c r="D6" s="24"/>
      <c r="E6" s="24"/>
      <c r="F6" s="24"/>
      <c r="G6" s="24"/>
      <c r="H6" s="24"/>
    </row>
    <row r="7" spans="1:10">
      <c r="A7">
        <v>9</v>
      </c>
      <c r="B7" s="24"/>
      <c r="C7" s="24"/>
      <c r="D7" s="24"/>
      <c r="E7" s="24"/>
      <c r="F7" s="24"/>
      <c r="G7" s="24"/>
      <c r="H7" s="24"/>
    </row>
    <row r="8" spans="1:10">
      <c r="A8">
        <v>10</v>
      </c>
      <c r="B8" s="24"/>
      <c r="C8" s="24"/>
      <c r="D8" s="24"/>
      <c r="E8" s="24"/>
      <c r="F8" s="24"/>
      <c r="G8" s="24"/>
      <c r="H8" s="24"/>
      <c r="J8" t="s">
        <v>1560</v>
      </c>
    </row>
    <row r="9" spans="1:10">
      <c r="A9">
        <v>11</v>
      </c>
      <c r="B9" s="105"/>
      <c r="C9" s="105"/>
      <c r="D9" s="49"/>
      <c r="E9" s="24"/>
      <c r="F9" s="49"/>
      <c r="G9" s="24"/>
      <c r="H9" s="24"/>
      <c r="J9" t="s">
        <v>1561</v>
      </c>
    </row>
    <row r="10" spans="1:10">
      <c r="A10">
        <v>12</v>
      </c>
      <c r="B10" s="105" t="s">
        <v>1579</v>
      </c>
      <c r="C10" s="105"/>
      <c r="D10" s="102"/>
      <c r="E10" s="24"/>
      <c r="F10" s="122" t="s">
        <v>591</v>
      </c>
      <c r="G10" s="24"/>
      <c r="H10" s="103"/>
      <c r="J10" t="s">
        <v>1562</v>
      </c>
    </row>
    <row r="11" spans="1:10">
      <c r="A11">
        <v>13</v>
      </c>
      <c r="B11" s="105"/>
      <c r="C11" s="105"/>
      <c r="D11" s="24"/>
      <c r="E11" s="24"/>
      <c r="F11" s="24"/>
      <c r="G11" s="24"/>
      <c r="H11" s="24"/>
      <c r="J11" t="s">
        <v>1563</v>
      </c>
    </row>
    <row r="12" spans="1:10">
      <c r="A12">
        <v>14</v>
      </c>
      <c r="B12" s="105"/>
      <c r="C12" s="105"/>
      <c r="D12" s="24"/>
      <c r="E12" s="24"/>
      <c r="F12" s="24"/>
      <c r="G12" s="24"/>
      <c r="H12" s="24"/>
      <c r="J12" t="s">
        <v>1569</v>
      </c>
    </row>
    <row r="13" spans="1:10">
      <c r="A13">
        <v>15</v>
      </c>
      <c r="B13" s="105" t="s">
        <v>1575</v>
      </c>
      <c r="C13" s="105"/>
      <c r="D13" s="102"/>
      <c r="E13" s="24"/>
      <c r="F13" s="24" t="s">
        <v>1341</v>
      </c>
      <c r="G13" s="24"/>
      <c r="H13" s="103"/>
      <c r="J13" t="s">
        <v>1570</v>
      </c>
    </row>
    <row r="14" spans="1:10">
      <c r="A14">
        <v>16</v>
      </c>
      <c r="B14" s="105"/>
      <c r="C14" s="105"/>
      <c r="D14" s="24"/>
      <c r="E14" s="24"/>
      <c r="F14" s="24"/>
      <c r="G14" s="24"/>
      <c r="H14" s="24"/>
      <c r="J14" t="s">
        <v>1568</v>
      </c>
    </row>
    <row r="15" spans="1:10">
      <c r="A15">
        <v>17</v>
      </c>
      <c r="B15" s="117" t="s">
        <v>1576</v>
      </c>
      <c r="C15" s="117" t="s">
        <v>514</v>
      </c>
      <c r="D15" s="24"/>
      <c r="E15" s="24"/>
      <c r="F15" s="24"/>
      <c r="G15" s="24"/>
      <c r="H15" s="24"/>
      <c r="J15" t="s">
        <v>1564</v>
      </c>
    </row>
    <row r="16" spans="1:10">
      <c r="A16">
        <v>18</v>
      </c>
      <c r="B16" s="105" t="s">
        <v>1577</v>
      </c>
      <c r="C16" s="105"/>
      <c r="D16" s="24"/>
      <c r="E16" s="24"/>
      <c r="F16" s="108"/>
      <c r="G16" s="24"/>
      <c r="H16" s="24"/>
      <c r="J16" t="s">
        <v>1565</v>
      </c>
    </row>
    <row r="17" spans="1:19">
      <c r="A17">
        <v>19</v>
      </c>
      <c r="B17" s="110" t="s">
        <v>1568</v>
      </c>
      <c r="C17" s="110" t="s">
        <v>594</v>
      </c>
      <c r="D17" s="24"/>
      <c r="E17" s="24" t="s">
        <v>594</v>
      </c>
      <c r="F17" s="49" t="s">
        <v>1645</v>
      </c>
      <c r="G17" s="24"/>
      <c r="H17" s="24"/>
      <c r="J17" t="s">
        <v>1566</v>
      </c>
    </row>
    <row r="18" spans="1:19">
      <c r="A18">
        <v>20</v>
      </c>
      <c r="B18" s="105"/>
      <c r="C18" s="105"/>
      <c r="D18" s="24"/>
      <c r="E18" s="24"/>
      <c r="F18" s="24"/>
      <c r="G18" s="24"/>
      <c r="H18" s="24"/>
      <c r="J18" t="s">
        <v>1567</v>
      </c>
    </row>
    <row r="19" spans="1:19">
      <c r="A19">
        <v>21</v>
      </c>
      <c r="B19" s="105"/>
      <c r="C19" s="105"/>
      <c r="D19" s="24"/>
      <c r="E19" s="24"/>
      <c r="F19" s="49" t="s">
        <v>1644</v>
      </c>
      <c r="G19" s="24"/>
      <c r="H19" s="24"/>
    </row>
    <row r="20" spans="1:19">
      <c r="A20">
        <v>22</v>
      </c>
      <c r="B20" s="105"/>
      <c r="C20" s="105"/>
      <c r="D20" s="24"/>
      <c r="E20" s="24"/>
      <c r="F20" s="24"/>
      <c r="G20" s="24"/>
      <c r="H20" s="24"/>
      <c r="J20" s="16" t="s">
        <v>1585</v>
      </c>
      <c r="M20" s="16" t="s">
        <v>1186</v>
      </c>
    </row>
    <row r="21" spans="1:19">
      <c r="A21">
        <v>23</v>
      </c>
      <c r="B21" s="105"/>
      <c r="C21" s="105"/>
      <c r="D21" s="24"/>
      <c r="E21" s="24"/>
      <c r="F21" s="24"/>
      <c r="G21" s="24"/>
      <c r="H21" s="24"/>
      <c r="J21" t="s">
        <v>1586</v>
      </c>
      <c r="M21" t="s">
        <v>1587</v>
      </c>
    </row>
    <row r="22" spans="1:19">
      <c r="A22">
        <v>24</v>
      </c>
      <c r="B22" s="105"/>
      <c r="C22" s="105"/>
      <c r="D22" s="24"/>
      <c r="E22" s="24"/>
      <c r="F22" s="108"/>
      <c r="G22" s="24"/>
      <c r="H22" s="24"/>
      <c r="J22" t="s">
        <v>1368</v>
      </c>
      <c r="M22" t="s">
        <v>1588</v>
      </c>
    </row>
    <row r="23" spans="1:19">
      <c r="B23" s="104" t="s">
        <v>1564</v>
      </c>
      <c r="C23" s="118" t="s">
        <v>1564</v>
      </c>
      <c r="D23" s="118" t="s">
        <v>1564</v>
      </c>
      <c r="E23" s="104" t="s">
        <v>1564</v>
      </c>
      <c r="F23" s="110" t="s">
        <v>1564</v>
      </c>
      <c r="G23" s="24"/>
      <c r="H23" s="24"/>
    </row>
    <row r="24" spans="1:19">
      <c r="B24" s="104" t="s">
        <v>1565</v>
      </c>
      <c r="C24" s="104" t="s">
        <v>1565</v>
      </c>
      <c r="D24" s="104" t="s">
        <v>1565</v>
      </c>
      <c r="E24" s="104" t="s">
        <v>1565</v>
      </c>
      <c r="F24" s="105" t="s">
        <v>1565</v>
      </c>
      <c r="G24" s="24"/>
      <c r="H24" s="24"/>
    </row>
    <row r="25" spans="1:19">
      <c r="B25" s="104" t="s">
        <v>1566</v>
      </c>
      <c r="C25" s="104" t="s">
        <v>1566</v>
      </c>
      <c r="D25" s="118" t="s">
        <v>1566</v>
      </c>
      <c r="E25" s="104" t="s">
        <v>1566</v>
      </c>
      <c r="F25" s="105" t="s">
        <v>1566</v>
      </c>
      <c r="G25" s="24"/>
      <c r="H25" s="24"/>
    </row>
    <row r="26" spans="1:19">
      <c r="B26" s="118" t="s">
        <v>1567</v>
      </c>
      <c r="C26" s="104" t="s">
        <v>1567</v>
      </c>
      <c r="D26" s="118" t="s">
        <v>1567</v>
      </c>
      <c r="E26" s="104" t="s">
        <v>1567</v>
      </c>
      <c r="F26" s="105" t="s">
        <v>1567</v>
      </c>
      <c r="G26" s="24"/>
      <c r="H26" s="24"/>
    </row>
    <row r="31" spans="1:19">
      <c r="B31" s="112"/>
      <c r="C31" s="112" t="s">
        <v>1581</v>
      </c>
    </row>
    <row r="32" spans="1:19">
      <c r="A32" s="86">
        <v>6</v>
      </c>
      <c r="B32" s="89">
        <v>7</v>
      </c>
      <c r="C32" s="89">
        <v>8</v>
      </c>
      <c r="D32">
        <v>9</v>
      </c>
      <c r="E32">
        <v>10</v>
      </c>
      <c r="F32">
        <v>11</v>
      </c>
      <c r="G32" s="86">
        <v>12</v>
      </c>
      <c r="H32">
        <v>13</v>
      </c>
      <c r="I32">
        <v>14</v>
      </c>
      <c r="J32">
        <v>15</v>
      </c>
      <c r="K32">
        <v>16</v>
      </c>
      <c r="L32">
        <v>17</v>
      </c>
      <c r="M32">
        <v>18</v>
      </c>
      <c r="N32">
        <v>19</v>
      </c>
      <c r="O32">
        <v>20</v>
      </c>
      <c r="P32">
        <v>21</v>
      </c>
      <c r="Q32">
        <v>22</v>
      </c>
      <c r="R32">
        <v>23</v>
      </c>
      <c r="S32">
        <v>24</v>
      </c>
    </row>
    <row r="33" spans="1:19">
      <c r="A33" s="115" t="s">
        <v>590</v>
      </c>
      <c r="B33" s="114"/>
      <c r="C33" s="114"/>
      <c r="D33" s="34"/>
      <c r="E33" s="24"/>
      <c r="F33" s="65"/>
      <c r="G33" s="114" t="s">
        <v>1579</v>
      </c>
      <c r="H33" s="116"/>
      <c r="I33" s="105"/>
      <c r="J33" s="105" t="s">
        <v>1584</v>
      </c>
      <c r="K33" s="105"/>
      <c r="L33" s="107"/>
      <c r="M33" s="107"/>
      <c r="N33" s="110" t="s">
        <v>1568</v>
      </c>
      <c r="O33" s="105" t="s">
        <v>134</v>
      </c>
      <c r="P33" s="106"/>
      <c r="Q33" s="105"/>
      <c r="R33" s="105"/>
      <c r="S33" s="106"/>
    </row>
    <row r="34" spans="1:19">
      <c r="B34" s="113"/>
      <c r="C34" s="113" t="s">
        <v>1591</v>
      </c>
      <c r="L34" s="16" t="s">
        <v>1570</v>
      </c>
      <c r="M34" s="16" t="s">
        <v>1583</v>
      </c>
      <c r="N34" s="16" t="s">
        <v>1589</v>
      </c>
    </row>
    <row r="35" spans="1:19">
      <c r="L35" t="s">
        <v>1586</v>
      </c>
      <c r="N35" t="s">
        <v>1590</v>
      </c>
    </row>
    <row r="36" spans="1:19">
      <c r="L36" t="s">
        <v>1368</v>
      </c>
      <c r="N36" t="s">
        <v>1582</v>
      </c>
    </row>
    <row r="39" spans="1:19">
      <c r="B39" t="s">
        <v>1571</v>
      </c>
    </row>
    <row r="40" spans="1:19">
      <c r="B40" t="s">
        <v>1572</v>
      </c>
    </row>
    <row r="41" spans="1:19">
      <c r="B41" t="s">
        <v>1573</v>
      </c>
    </row>
    <row r="42" spans="1:19">
      <c r="B42" t="s">
        <v>1574</v>
      </c>
    </row>
    <row r="46" spans="1:19">
      <c r="H46" s="10"/>
      <c r="I46" s="10"/>
    </row>
    <row r="47" spans="1:19">
      <c r="G47" s="119"/>
      <c r="H47" s="121" t="s">
        <v>1461</v>
      </c>
      <c r="I47" s="119"/>
    </row>
    <row r="48" spans="1:19">
      <c r="F48" s="120"/>
      <c r="G48" s="10"/>
      <c r="H48" s="119"/>
    </row>
    <row r="51" spans="2:16">
      <c r="J51" s="10"/>
      <c r="K51" s="10"/>
    </row>
    <row r="52" spans="2:16">
      <c r="I52" s="119"/>
      <c r="J52" t="s">
        <v>1642</v>
      </c>
      <c r="K52" s="119"/>
    </row>
    <row r="53" spans="2:16">
      <c r="H53" s="119"/>
      <c r="I53" t="s">
        <v>1624</v>
      </c>
      <c r="J53" s="119"/>
      <c r="K53" s="7"/>
    </row>
    <row r="54" spans="2:16">
      <c r="G54" s="119"/>
      <c r="H54" t="s">
        <v>1611</v>
      </c>
      <c r="I54" s="119"/>
    </row>
    <row r="55" spans="2:16">
      <c r="F55" s="119"/>
      <c r="G55" t="s">
        <v>1621</v>
      </c>
      <c r="H55" s="119"/>
      <c r="I55" s="7"/>
    </row>
    <row r="56" spans="2:16">
      <c r="E56" s="119"/>
      <c r="F56" t="s">
        <v>1640</v>
      </c>
      <c r="G56" s="119"/>
      <c r="J56" s="10"/>
      <c r="K56" s="10"/>
      <c r="L56" s="10"/>
      <c r="M56" s="10"/>
      <c r="N56" s="10"/>
      <c r="O56" s="10"/>
      <c r="P56" s="10"/>
    </row>
    <row r="57" spans="2:16">
      <c r="D57" s="120"/>
      <c r="E57" s="10" t="s">
        <v>1643</v>
      </c>
      <c r="F57" s="119"/>
      <c r="I57" s="119"/>
      <c r="J57" t="s">
        <v>1471</v>
      </c>
      <c r="K57" t="s">
        <v>612</v>
      </c>
      <c r="L57" t="s">
        <v>1592</v>
      </c>
      <c r="M57" t="s">
        <v>1593</v>
      </c>
      <c r="N57" t="s">
        <v>613</v>
      </c>
      <c r="O57" t="s">
        <v>616</v>
      </c>
      <c r="P57" s="119"/>
    </row>
    <row r="58" spans="2:16">
      <c r="H58" s="119"/>
      <c r="I58" t="s">
        <v>617</v>
      </c>
      <c r="J58" t="s">
        <v>1594</v>
      </c>
      <c r="K58" t="s">
        <v>1595</v>
      </c>
      <c r="L58" t="s">
        <v>1596</v>
      </c>
      <c r="M58" t="s">
        <v>1597</v>
      </c>
      <c r="N58" t="s">
        <v>1598</v>
      </c>
      <c r="O58" s="119"/>
    </row>
    <row r="59" spans="2:16">
      <c r="G59" s="119"/>
      <c r="H59" t="s">
        <v>1599</v>
      </c>
      <c r="I59" t="s">
        <v>1600</v>
      </c>
      <c r="J59" t="s">
        <v>1601</v>
      </c>
      <c r="K59" t="s">
        <v>1602</v>
      </c>
      <c r="L59" t="s">
        <v>1603</v>
      </c>
      <c r="M59" t="s">
        <v>1604</v>
      </c>
      <c r="N59" s="119"/>
    </row>
    <row r="60" spans="2:16">
      <c r="F60" s="119"/>
      <c r="G60" t="s">
        <v>1605</v>
      </c>
      <c r="H60" t="s">
        <v>1466</v>
      </c>
      <c r="I60" t="s">
        <v>1606</v>
      </c>
      <c r="J60" t="s">
        <v>1607</v>
      </c>
      <c r="K60" t="s">
        <v>1608</v>
      </c>
      <c r="L60" t="s">
        <v>1609</v>
      </c>
      <c r="M60" s="119"/>
    </row>
    <row r="61" spans="2:16">
      <c r="E61" s="119"/>
      <c r="F61" t="s">
        <v>599</v>
      </c>
      <c r="G61" t="s">
        <v>1610</v>
      </c>
      <c r="H61" t="s">
        <v>1611</v>
      </c>
      <c r="I61" t="s">
        <v>1612</v>
      </c>
      <c r="J61" t="s">
        <v>1613</v>
      </c>
      <c r="K61" t="s">
        <v>1614</v>
      </c>
      <c r="L61" s="119"/>
    </row>
    <row r="62" spans="2:16">
      <c r="D62" s="119"/>
      <c r="E62" t="s">
        <v>1615</v>
      </c>
      <c r="F62" t="s">
        <v>1615</v>
      </c>
      <c r="G62" t="s">
        <v>1600</v>
      </c>
      <c r="H62" t="s">
        <v>1616</v>
      </c>
      <c r="I62" t="s">
        <v>1610</v>
      </c>
      <c r="J62" t="s">
        <v>1617</v>
      </c>
      <c r="K62" s="119"/>
    </row>
    <row r="63" spans="2:16">
      <c r="C63" s="119"/>
      <c r="D63" t="s">
        <v>1618</v>
      </c>
      <c r="E63" t="s">
        <v>1619</v>
      </c>
      <c r="F63" t="s">
        <v>1620</v>
      </c>
      <c r="G63" t="s">
        <v>1622</v>
      </c>
      <c r="H63" t="s">
        <v>1623</v>
      </c>
      <c r="I63" t="s">
        <v>1625</v>
      </c>
      <c r="J63" s="119"/>
    </row>
    <row r="64" spans="2:16">
      <c r="B64" s="119"/>
      <c r="C64" t="s">
        <v>1626</v>
      </c>
      <c r="D64" t="s">
        <v>1627</v>
      </c>
      <c r="E64" t="s">
        <v>1611</v>
      </c>
      <c r="F64" t="s">
        <v>1628</v>
      </c>
      <c r="G64" t="s">
        <v>1629</v>
      </c>
      <c r="H64" t="s">
        <v>1466</v>
      </c>
      <c r="I64" s="119"/>
    </row>
    <row r="65" spans="1:8">
      <c r="A65" s="119"/>
      <c r="B65" t="s">
        <v>1615</v>
      </c>
      <c r="C65" t="s">
        <v>1630</v>
      </c>
      <c r="D65" t="s">
        <v>747</v>
      </c>
      <c r="E65" t="s">
        <v>1631</v>
      </c>
      <c r="F65" t="s">
        <v>1632</v>
      </c>
      <c r="G65" t="s">
        <v>1633</v>
      </c>
      <c r="H65" s="119"/>
    </row>
    <row r="66" spans="1:8">
      <c r="A66" t="s">
        <v>1620</v>
      </c>
      <c r="B66" t="s">
        <v>1634</v>
      </c>
      <c r="C66" t="s">
        <v>1635</v>
      </c>
      <c r="D66" t="s">
        <v>1636</v>
      </c>
      <c r="E66" t="s">
        <v>1630</v>
      </c>
      <c r="F66" t="s">
        <v>1637</v>
      </c>
      <c r="G66" s="119"/>
    </row>
    <row r="67" spans="1:8">
      <c r="A67" s="10" t="s">
        <v>1638</v>
      </c>
      <c r="B67" s="10" t="s">
        <v>1639</v>
      </c>
      <c r="C67" s="10" t="s">
        <v>1641</v>
      </c>
      <c r="D67" s="10"/>
      <c r="E67" s="10"/>
      <c r="F67" s="119"/>
    </row>
    <row r="73" spans="1:8">
      <c r="B73" s="16" t="s">
        <v>1646</v>
      </c>
      <c r="C73" s="16" t="s">
        <v>1647</v>
      </c>
      <c r="F73" s="16" t="s">
        <v>1648</v>
      </c>
      <c r="H73" s="16" t="s">
        <v>1649</v>
      </c>
    </row>
    <row r="74" spans="1:8">
      <c r="D74">
        <v>6</v>
      </c>
      <c r="E74">
        <v>2</v>
      </c>
      <c r="F74" t="s">
        <v>1615</v>
      </c>
      <c r="H74">
        <v>1259</v>
      </c>
    </row>
    <row r="75" spans="1:8">
      <c r="D75">
        <v>6</v>
      </c>
      <c r="E75">
        <v>2</v>
      </c>
      <c r="F75" t="s">
        <v>1650</v>
      </c>
    </row>
    <row r="76" spans="1:8">
      <c r="D76">
        <v>6</v>
      </c>
      <c r="F76" t="s">
        <v>1651</v>
      </c>
    </row>
    <row r="77" spans="1:8">
      <c r="F77" t="s">
        <v>1652</v>
      </c>
    </row>
    <row r="78" spans="1:8">
      <c r="F78" t="s">
        <v>1653</v>
      </c>
    </row>
    <row r="79" spans="1:8">
      <c r="F79" t="s">
        <v>1654</v>
      </c>
    </row>
    <row r="80" spans="1:8">
      <c r="D80">
        <v>4</v>
      </c>
      <c r="E80">
        <v>1</v>
      </c>
      <c r="F80" t="s">
        <v>1655</v>
      </c>
    </row>
    <row r="81" spans="6:6">
      <c r="F81" t="s">
        <v>1656</v>
      </c>
    </row>
    <row r="82" spans="6:6">
      <c r="F82" t="s">
        <v>1657</v>
      </c>
    </row>
    <row r="110" spans="1:2">
      <c r="A110" s="16" t="s">
        <v>1217</v>
      </c>
    </row>
    <row r="111" spans="1:2">
      <c r="A111" s="16"/>
      <c r="B111" t="s">
        <v>1221</v>
      </c>
    </row>
    <row r="112" spans="1:2">
      <c r="A112" s="16"/>
      <c r="B112" t="s">
        <v>1208</v>
      </c>
    </row>
    <row r="113" spans="1:7">
      <c r="A113" s="16"/>
    </row>
    <row r="114" spans="1:7">
      <c r="A114">
        <v>1</v>
      </c>
      <c r="B114" t="s">
        <v>1209</v>
      </c>
    </row>
    <row r="115" spans="1:7">
      <c r="A115">
        <v>1</v>
      </c>
      <c r="B115" t="s">
        <v>1210</v>
      </c>
    </row>
    <row r="117" spans="1:7">
      <c r="A117">
        <v>2</v>
      </c>
      <c r="B117" t="s">
        <v>1211</v>
      </c>
    </row>
    <row r="118" spans="1:7">
      <c r="A118">
        <v>3</v>
      </c>
      <c r="B118" t="s">
        <v>1212</v>
      </c>
    </row>
    <row r="120" spans="1:7">
      <c r="A120" s="16" t="s">
        <v>1251</v>
      </c>
    </row>
    <row r="121" spans="1:7">
      <c r="A121" s="16"/>
      <c r="B121" t="s">
        <v>1250</v>
      </c>
      <c r="F121" s="16" t="s">
        <v>1252</v>
      </c>
    </row>
    <row r="122" spans="1:7">
      <c r="A122" s="16"/>
      <c r="C122" t="s">
        <v>1218</v>
      </c>
      <c r="G122" t="s">
        <v>1253</v>
      </c>
    </row>
    <row r="123" spans="1:7">
      <c r="A123" s="16"/>
      <c r="C123" t="s">
        <v>1219</v>
      </c>
      <c r="G123" t="s">
        <v>1254</v>
      </c>
    </row>
    <row r="124" spans="1:7">
      <c r="A124" s="16"/>
      <c r="C124" t="s">
        <v>1220</v>
      </c>
      <c r="G124" t="s">
        <v>1255</v>
      </c>
    </row>
    <row r="125" spans="1:7">
      <c r="A125" s="16"/>
      <c r="C125" t="s">
        <v>1223</v>
      </c>
      <c r="G125" t="s">
        <v>1256</v>
      </c>
    </row>
    <row r="126" spans="1:7">
      <c r="A126" s="16"/>
      <c r="C126" t="s">
        <v>1224</v>
      </c>
      <c r="G126" t="s">
        <v>1225</v>
      </c>
    </row>
    <row r="127" spans="1:7">
      <c r="A127" s="16"/>
    </row>
    <row r="128" spans="1:7">
      <c r="A128" s="16"/>
      <c r="C128" t="s">
        <v>1222</v>
      </c>
    </row>
    <row r="129" spans="1:3">
      <c r="A129" s="16"/>
    </row>
    <row r="130" spans="1:3">
      <c r="A130" s="16"/>
    </row>
    <row r="131" spans="1:3">
      <c r="A131" s="16" t="s">
        <v>1226</v>
      </c>
    </row>
    <row r="132" spans="1:3">
      <c r="A132" s="16"/>
    </row>
    <row r="133" spans="1:3">
      <c r="B133" t="s">
        <v>1213</v>
      </c>
    </row>
    <row r="134" spans="1:3">
      <c r="B134" t="s">
        <v>1214</v>
      </c>
    </row>
    <row r="135" spans="1:3">
      <c r="B135" t="s">
        <v>1215</v>
      </c>
    </row>
    <row r="136" spans="1:3">
      <c r="B136" t="s">
        <v>1216</v>
      </c>
    </row>
    <row r="138" spans="1:3">
      <c r="B138" t="s">
        <v>1227</v>
      </c>
    </row>
    <row r="139" spans="1:3">
      <c r="B139" s="22"/>
      <c r="C139" s="22" t="s">
        <v>1228</v>
      </c>
    </row>
    <row r="141" spans="1:3">
      <c r="A141" s="16" t="s">
        <v>1229</v>
      </c>
    </row>
    <row r="142" spans="1:3">
      <c r="B142" t="s">
        <v>1230</v>
      </c>
    </row>
    <row r="143" spans="1:3">
      <c r="B143" t="s">
        <v>1231</v>
      </c>
    </row>
    <row r="144" spans="1:3">
      <c r="B144" t="s">
        <v>1232</v>
      </c>
    </row>
    <row r="145" spans="2:7">
      <c r="B145" t="s">
        <v>1233</v>
      </c>
    </row>
    <row r="146" spans="2:7">
      <c r="B146" t="s">
        <v>1234</v>
      </c>
    </row>
    <row r="148" spans="2:7">
      <c r="B148" t="s">
        <v>1235</v>
      </c>
    </row>
    <row r="150" spans="2:7">
      <c r="B150" t="s">
        <v>1236</v>
      </c>
    </row>
    <row r="151" spans="2:7">
      <c r="C151" t="s">
        <v>1237</v>
      </c>
      <c r="G151" t="s">
        <v>1241</v>
      </c>
    </row>
    <row r="152" spans="2:7">
      <c r="C152" t="s">
        <v>1238</v>
      </c>
      <c r="G152" t="s">
        <v>1242</v>
      </c>
    </row>
    <row r="153" spans="2:7">
      <c r="C153" t="s">
        <v>1239</v>
      </c>
      <c r="G153" t="s">
        <v>1243</v>
      </c>
    </row>
    <row r="155" spans="2:7">
      <c r="B155" t="s">
        <v>1244</v>
      </c>
    </row>
    <row r="157" spans="2:7">
      <c r="B157" t="s">
        <v>1240</v>
      </c>
    </row>
    <row r="159" spans="2:7">
      <c r="B159" t="s">
        <v>1245</v>
      </c>
    </row>
    <row r="160" spans="2:7">
      <c r="C160" t="s">
        <v>1246</v>
      </c>
    </row>
    <row r="161" spans="2:3">
      <c r="C161" t="s">
        <v>1247</v>
      </c>
    </row>
    <row r="162" spans="2:3">
      <c r="B162" s="22"/>
      <c r="C162" s="22" t="s">
        <v>1248</v>
      </c>
    </row>
    <row r="164" spans="2:3">
      <c r="C164" t="s">
        <v>1249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K22"/>
  <sheetViews>
    <sheetView zoomScale="130" zoomScaleNormal="130" workbookViewId="0">
      <selection activeCell="E12" sqref="E12"/>
    </sheetView>
  </sheetViews>
  <sheetFormatPr defaultRowHeight="14.4"/>
  <sheetData>
    <row r="2" spans="1:11">
      <c r="A2" s="16" t="s">
        <v>1207</v>
      </c>
    </row>
    <row r="4" spans="1:11">
      <c r="B4" t="s">
        <v>1205</v>
      </c>
      <c r="D4" t="s">
        <v>1206</v>
      </c>
    </row>
    <row r="6" spans="1:11">
      <c r="B6" s="86" t="s">
        <v>1194</v>
      </c>
      <c r="D6" s="2" t="s">
        <v>1194</v>
      </c>
      <c r="E6" s="5"/>
      <c r="F6" s="5"/>
      <c r="G6" s="5"/>
      <c r="H6" s="5"/>
      <c r="I6" s="5"/>
      <c r="J6" s="5"/>
      <c r="K6" s="6"/>
    </row>
    <row r="7" spans="1:11">
      <c r="B7" s="87">
        <v>300000</v>
      </c>
      <c r="D7" s="88">
        <v>300000</v>
      </c>
      <c r="E7" s="7"/>
      <c r="F7" s="7"/>
      <c r="G7" s="7"/>
      <c r="H7" s="7"/>
      <c r="I7" s="7"/>
      <c r="J7" s="7"/>
      <c r="K7" s="8"/>
    </row>
    <row r="8" spans="1:11">
      <c r="B8" s="89"/>
      <c r="D8" s="3"/>
      <c r="E8" s="7"/>
      <c r="F8" s="7"/>
      <c r="G8" s="7"/>
      <c r="H8" s="7"/>
      <c r="I8" s="7"/>
      <c r="J8" s="7"/>
      <c r="K8" s="8"/>
    </row>
    <row r="9" spans="1:11">
      <c r="B9" s="89"/>
      <c r="D9" s="3"/>
      <c r="E9" s="7"/>
      <c r="F9" s="7"/>
      <c r="G9" s="7"/>
      <c r="H9" s="7"/>
      <c r="I9" s="7"/>
      <c r="J9" s="7"/>
      <c r="K9" s="8"/>
    </row>
    <row r="10" spans="1:11">
      <c r="B10" s="89" t="s">
        <v>1195</v>
      </c>
      <c r="D10" s="3" t="s">
        <v>1196</v>
      </c>
      <c r="E10" s="7"/>
      <c r="F10" s="7"/>
      <c r="G10" s="7"/>
      <c r="H10" s="7"/>
      <c r="I10" s="7"/>
      <c r="J10" s="7"/>
      <c r="K10" s="8"/>
    </row>
    <row r="11" spans="1:11">
      <c r="B11" s="89" t="s">
        <v>1197</v>
      </c>
      <c r="D11" s="3" t="s">
        <v>1197</v>
      </c>
      <c r="E11" s="7"/>
      <c r="F11" s="7"/>
      <c r="G11" s="7"/>
      <c r="H11" s="7"/>
      <c r="I11" s="7"/>
      <c r="J11" s="7"/>
      <c r="K11" s="8"/>
    </row>
    <row r="12" spans="1:11">
      <c r="B12" s="90" t="s">
        <v>1198</v>
      </c>
      <c r="D12" s="3" t="s">
        <v>1199</v>
      </c>
      <c r="E12" s="7"/>
      <c r="F12" s="7"/>
      <c r="G12" s="7"/>
      <c r="H12" s="7"/>
      <c r="I12" s="7"/>
      <c r="J12" s="7"/>
      <c r="K12" s="8"/>
    </row>
    <row r="13" spans="1:11">
      <c r="C13" s="62"/>
      <c r="D13" s="3" t="s">
        <v>1197</v>
      </c>
      <c r="E13" s="7"/>
      <c r="F13" s="7"/>
      <c r="G13" s="91"/>
      <c r="H13" s="7"/>
      <c r="I13" s="7"/>
      <c r="J13" s="7"/>
      <c r="K13" s="8"/>
    </row>
    <row r="14" spans="1:11">
      <c r="C14" s="62"/>
      <c r="D14" s="3" t="s">
        <v>1200</v>
      </c>
      <c r="E14" s="7"/>
      <c r="F14" s="7"/>
      <c r="G14" s="91"/>
      <c r="H14" s="7"/>
      <c r="I14" s="7"/>
      <c r="J14" s="7"/>
      <c r="K14" s="8"/>
    </row>
    <row r="15" spans="1:11">
      <c r="C15" s="62"/>
      <c r="D15" s="3" t="s">
        <v>1197</v>
      </c>
      <c r="E15" s="7"/>
      <c r="F15" s="7"/>
      <c r="G15" s="91"/>
      <c r="H15" s="7"/>
      <c r="I15" s="7"/>
      <c r="J15" s="7"/>
      <c r="K15" s="8"/>
    </row>
    <row r="16" spans="1:11">
      <c r="C16" s="62"/>
      <c r="D16" s="3" t="s">
        <v>1201</v>
      </c>
      <c r="E16" s="7"/>
      <c r="F16" s="7"/>
      <c r="G16" s="91"/>
      <c r="H16" s="7"/>
      <c r="I16" s="7"/>
      <c r="J16" s="7"/>
      <c r="K16" s="8"/>
    </row>
    <row r="17" spans="3:11">
      <c r="C17" s="62"/>
      <c r="D17" s="3" t="s">
        <v>1197</v>
      </c>
      <c r="E17" s="7"/>
      <c r="F17" s="7"/>
      <c r="G17" s="91"/>
      <c r="H17" s="7"/>
      <c r="I17" s="7"/>
      <c r="J17" s="7"/>
      <c r="K17" s="8"/>
    </row>
    <row r="18" spans="3:11">
      <c r="C18" s="62"/>
      <c r="D18" s="3" t="s">
        <v>1202</v>
      </c>
      <c r="E18" s="7"/>
      <c r="F18" s="7"/>
      <c r="G18" s="91"/>
      <c r="H18" s="7"/>
      <c r="I18" s="7"/>
      <c r="J18" s="7"/>
      <c r="K18" s="8"/>
    </row>
    <row r="19" spans="3:11">
      <c r="C19" s="62"/>
      <c r="D19" s="3" t="s">
        <v>1197</v>
      </c>
      <c r="E19" s="7"/>
      <c r="F19" s="7"/>
      <c r="G19" s="91"/>
      <c r="H19" s="7"/>
      <c r="I19" s="7"/>
      <c r="J19" s="7"/>
      <c r="K19" s="8"/>
    </row>
    <row r="20" spans="3:11">
      <c r="C20" s="62"/>
      <c r="D20" s="4" t="s">
        <v>1203</v>
      </c>
      <c r="E20" s="10"/>
      <c r="F20" s="10"/>
      <c r="G20" s="92"/>
      <c r="H20" s="10"/>
      <c r="I20" s="10"/>
      <c r="J20" s="10"/>
      <c r="K20" s="11"/>
    </row>
    <row r="21" spans="3:11">
      <c r="C21" s="62"/>
      <c r="G21" s="63"/>
    </row>
    <row r="22" spans="3:11">
      <c r="C22" t="s">
        <v>1204</v>
      </c>
      <c r="G22" s="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2:M48"/>
  <sheetViews>
    <sheetView tabSelected="1" zoomScale="145" zoomScaleNormal="145" workbookViewId="0">
      <selection activeCell="J34" sqref="J34:K34"/>
    </sheetView>
  </sheetViews>
  <sheetFormatPr defaultRowHeight="14.4"/>
  <cols>
    <col min="3" max="3" width="14.77734375" bestFit="1" customWidth="1"/>
    <col min="6" max="6" width="12.21875" customWidth="1"/>
    <col min="9" max="9" width="9.44140625" bestFit="1" customWidth="1"/>
  </cols>
  <sheetData>
    <row r="2" spans="1:8">
      <c r="A2" s="16" t="s">
        <v>1469</v>
      </c>
    </row>
    <row r="4" spans="1:8">
      <c r="B4" s="96" t="s">
        <v>1462</v>
      </c>
      <c r="D4" s="96" t="s">
        <v>1463</v>
      </c>
      <c r="F4" s="96" t="s">
        <v>1464</v>
      </c>
      <c r="H4" s="96" t="s">
        <v>1465</v>
      </c>
    </row>
    <row r="6" spans="1:8">
      <c r="C6" s="24" t="s">
        <v>1460</v>
      </c>
      <c r="G6" s="96" t="s">
        <v>1461</v>
      </c>
    </row>
    <row r="9" spans="1:8">
      <c r="D9" s="96" t="s">
        <v>1466</v>
      </c>
      <c r="F9" s="24" t="s">
        <v>1467</v>
      </c>
    </row>
    <row r="12" spans="1:8">
      <c r="D12" s="24" t="s">
        <v>1461</v>
      </c>
    </row>
    <row r="15" spans="1:8">
      <c r="A15" s="16" t="s">
        <v>1470</v>
      </c>
    </row>
    <row r="18" spans="1:13">
      <c r="B18" s="96" t="s">
        <v>1474</v>
      </c>
      <c r="D18" s="96" t="s">
        <v>1475</v>
      </c>
      <c r="F18" s="101" t="s">
        <v>1552</v>
      </c>
      <c r="H18" s="96" t="s">
        <v>1476</v>
      </c>
    </row>
    <row r="21" spans="1:13">
      <c r="C21" s="96" t="s">
        <v>1472</v>
      </c>
      <c r="G21" s="96" t="s">
        <v>1473</v>
      </c>
    </row>
    <row r="24" spans="1:13">
      <c r="D24" s="24" t="s">
        <v>1468</v>
      </c>
      <c r="F24" s="24" t="s">
        <v>1471</v>
      </c>
    </row>
    <row r="27" spans="1:13">
      <c r="D27" s="24" t="s">
        <v>1461</v>
      </c>
    </row>
    <row r="29" spans="1:13">
      <c r="A29" s="16" t="s">
        <v>1477</v>
      </c>
    </row>
    <row r="31" spans="1:13">
      <c r="B31" s="48" t="s">
        <v>1479</v>
      </c>
      <c r="C31" s="5"/>
      <c r="D31" s="5"/>
      <c r="E31" s="43" t="s">
        <v>1480</v>
      </c>
      <c r="F31" s="5"/>
      <c r="G31" s="5"/>
      <c r="H31" s="43" t="s">
        <v>1478</v>
      </c>
      <c r="I31" s="5"/>
      <c r="J31" s="5"/>
      <c r="K31" s="43" t="s">
        <v>1658</v>
      </c>
      <c r="L31" s="5"/>
      <c r="M31" s="6"/>
    </row>
    <row r="32" spans="1:13">
      <c r="B32" s="4"/>
      <c r="C32" s="97">
        <v>16507</v>
      </c>
      <c r="D32" s="10"/>
      <c r="E32" s="10"/>
      <c r="F32" s="100">
        <v>45554</v>
      </c>
      <c r="G32" s="10"/>
      <c r="H32" s="10"/>
      <c r="I32" s="97">
        <v>45556</v>
      </c>
      <c r="J32" s="10"/>
      <c r="K32" s="10" t="str">
        <f>DATEDIF(C32,F32,"Y") &amp; " години, " &amp; DATEDIF(C32,F32,"YM") &amp; " месеца, " &amp; DATEDIF(C32,F32,"MD") &amp; " дни"</f>
        <v>79 години, 6 месеца, 8 дни</v>
      </c>
      <c r="L32" s="10"/>
      <c r="M32" s="11"/>
    </row>
    <row r="33" spans="2:8">
      <c r="F33" s="53"/>
    </row>
    <row r="35" spans="2:8">
      <c r="B35" s="48" t="s">
        <v>1481</v>
      </c>
      <c r="C35" s="6"/>
      <c r="E35" s="48" t="s">
        <v>1482</v>
      </c>
      <c r="F35" s="5"/>
      <c r="G35" s="5"/>
      <c r="H35" s="6"/>
    </row>
    <row r="36" spans="2:8">
      <c r="B36" s="4"/>
      <c r="C36" s="99">
        <f ca="1">TODAY()-F32</f>
        <v>725</v>
      </c>
      <c r="E36" s="4"/>
      <c r="F36" s="98" t="str">
        <f ca="1">DATEDIF(F32,TODAY(),"Y") &amp; " години, " &amp; DATEDIF(F32,TODAY(),"YM") &amp; " месеца, " &amp; DATEDIF(F32,TODAY(),"MD") &amp; " дни"</f>
        <v>1 години, 11 месеца, 25 дни</v>
      </c>
      <c r="G36" s="10"/>
      <c r="H36" s="11"/>
    </row>
    <row r="39" spans="2:8">
      <c r="B39" t="s">
        <v>1483</v>
      </c>
    </row>
    <row r="40" spans="2:8">
      <c r="B40" t="s">
        <v>1490</v>
      </c>
    </row>
    <row r="42" spans="2:8">
      <c r="B42" s="16" t="s">
        <v>1484</v>
      </c>
    </row>
    <row r="43" spans="2:8">
      <c r="C43" t="s">
        <v>1485</v>
      </c>
    </row>
    <row r="45" spans="2:8">
      <c r="C45" s="16" t="s">
        <v>1487</v>
      </c>
    </row>
    <row r="46" spans="2:8">
      <c r="D46" t="s">
        <v>1486</v>
      </c>
    </row>
    <row r="47" spans="2:8">
      <c r="D47" t="s">
        <v>1488</v>
      </c>
    </row>
    <row r="48" spans="2:8">
      <c r="D48" t="s">
        <v>1489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31"/>
  <sheetViews>
    <sheetView zoomScale="160" zoomScaleNormal="160" workbookViewId="0">
      <selection activeCell="D34" sqref="D34"/>
    </sheetView>
  </sheetViews>
  <sheetFormatPr defaultRowHeight="14.4"/>
  <sheetData>
    <row r="2" spans="1:2">
      <c r="A2" s="16" t="s">
        <v>1530</v>
      </c>
    </row>
    <row r="3" spans="1:2">
      <c r="A3" s="16" t="s">
        <v>1531</v>
      </c>
    </row>
    <row r="5" spans="1:2">
      <c r="B5" t="s">
        <v>1532</v>
      </c>
    </row>
    <row r="7" spans="1:2">
      <c r="B7" t="s">
        <v>1533</v>
      </c>
    </row>
    <row r="8" spans="1:2">
      <c r="B8" t="s">
        <v>1534</v>
      </c>
    </row>
    <row r="9" spans="1:2">
      <c r="B9" t="s">
        <v>1535</v>
      </c>
    </row>
    <row r="10" spans="1:2">
      <c r="B10" t="s">
        <v>1536</v>
      </c>
    </row>
    <row r="12" spans="1:2">
      <c r="B12" t="s">
        <v>1537</v>
      </c>
    </row>
    <row r="13" spans="1:2">
      <c r="B13" t="s">
        <v>1538</v>
      </c>
    </row>
    <row r="14" spans="1:2">
      <c r="B14" t="s">
        <v>1539</v>
      </c>
    </row>
    <row r="16" spans="1:2">
      <c r="B16" t="s">
        <v>1540</v>
      </c>
    </row>
    <row r="17" spans="1:2">
      <c r="B17" t="s">
        <v>1541</v>
      </c>
    </row>
    <row r="18" spans="1:2">
      <c r="B18" t="s">
        <v>1542</v>
      </c>
    </row>
    <row r="19" spans="1:2">
      <c r="B19" t="s">
        <v>1543</v>
      </c>
    </row>
    <row r="20" spans="1:2">
      <c r="B20" t="s">
        <v>1544</v>
      </c>
    </row>
    <row r="23" spans="1:2">
      <c r="B23" t="s">
        <v>1545</v>
      </c>
    </row>
    <row r="24" spans="1:2">
      <c r="B24" t="s">
        <v>1546</v>
      </c>
    </row>
    <row r="25" spans="1:2">
      <c r="B25" t="s">
        <v>1547</v>
      </c>
    </row>
    <row r="26" spans="1:2">
      <c r="B26" t="s">
        <v>1548</v>
      </c>
    </row>
    <row r="28" spans="1:2">
      <c r="B28" s="93" t="s">
        <v>1549</v>
      </c>
    </row>
    <row r="29" spans="1:2">
      <c r="B29" s="93" t="s">
        <v>1550</v>
      </c>
    </row>
    <row r="31" spans="1:2">
      <c r="A31" s="16" t="s">
        <v>1551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FC1129-B191-422E-9151-B66C578AFF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План</vt:lpstr>
      <vt:lpstr>kcal</vt:lpstr>
      <vt:lpstr>Банка</vt:lpstr>
      <vt:lpstr>Здраве</vt:lpstr>
      <vt:lpstr>Електро цени</vt:lpstr>
      <vt:lpstr>Diagram</vt:lpstr>
      <vt:lpstr>Свършени задачи</vt:lpstr>
      <vt:lpstr>Седмица</vt:lpstr>
      <vt:lpstr>Инвестиции</vt:lpstr>
      <vt:lpstr>Родословно дърво</vt:lpstr>
      <vt:lpstr>Книги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2026-09-14T11:53:01Z</dcterms:modified>
</cp:coreProperties>
</file>